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Singles" sheetId="2" state="visible" r:id="rId2"/>
    <sheet name="Daily Double" sheetId="3" state="visible" r:id="rId3"/>
    <sheet name="Smash Doub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MM/DD/YYYY"/>
    <numFmt numFmtId="165" formatCode="0.000"/>
    <numFmt numFmtId="166" formatCode="$#,##0.00"/>
    <numFmt numFmtId="167" formatCode="$#,##0.00;($#,##0.00);&quot;-&quot;"/>
    <numFmt numFmtId="168" formatCode="0.0%"/>
    <numFmt numFmtId="169" formatCode="+0;-0;&quot;-&quot;"/>
  </numFmts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22"/>
    </font>
    <font>
      <i val="1"/>
      <color rgb="00AAAAAA"/>
      <sz val="11"/>
    </font>
    <font>
      <i val="1"/>
      <color rgb="00CCCCCC"/>
      <sz val="10"/>
    </font>
    <font>
      <b val="1"/>
      <color rgb="00FFFFFF"/>
      <sz val="13"/>
    </font>
    <font>
      <b val="1"/>
      <color rgb="00FFFFFF"/>
      <sz val="10"/>
    </font>
    <font>
      <b val="1"/>
      <color rgb="00FFFFFF"/>
      <sz val="12"/>
    </font>
    <font>
      <b val="1"/>
      <color rgb="00FFFFFF"/>
    </font>
    <font>
      <b val="1"/>
      <color rgb="00FFFFFF"/>
      <sz val="14"/>
    </font>
    <font>
      <color rgb="00162032"/>
      <sz val="9"/>
    </font>
  </fonts>
  <fills count="1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0E4D3A"/>
      </patternFill>
    </fill>
    <fill>
      <patternFill patternType="solid">
        <fgColor rgb="004A0E0E"/>
      </patternFill>
    </fill>
    <fill>
      <patternFill patternType="solid">
        <fgColor rgb="000D1B2A"/>
      </patternFill>
    </fill>
    <fill>
      <patternFill patternType="solid">
        <fgColor rgb="00162032"/>
      </patternFill>
    </fill>
    <fill>
      <patternFill patternType="solid">
        <fgColor rgb="001A5276"/>
      </patternFill>
    </fill>
    <fill>
      <patternFill patternType="solid">
        <fgColor rgb="00EBF5FB"/>
      </patternFill>
    </fill>
    <fill>
      <patternFill patternType="solid">
        <fgColor rgb="002471A3"/>
      </patternFill>
    </fill>
    <fill>
      <patternFill patternType="solid">
        <fgColor rgb="001E8449"/>
      </patternFill>
    </fill>
    <fill>
      <patternFill patternType="solid">
        <fgColor rgb="00B7950B"/>
      </patternFill>
    </fill>
    <fill>
      <patternFill patternType="solid">
        <fgColor rgb="00C0392B"/>
      </patternFill>
    </fill>
    <fill>
      <patternFill patternType="solid">
        <fgColor rgb="00155D47"/>
      </patternFill>
    </fill>
    <fill>
      <patternFill patternType="solid">
        <fgColor rgb="007B1C1C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5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indent="1"/>
    </xf>
    <xf numFmtId="0" fontId="0" fillId="8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left" vertical="center" indent="1"/>
    </xf>
    <xf numFmtId="168" fontId="0" fillId="8" borderId="1" applyAlignment="1" pivotButton="0" quotePrefix="0" xfId="0">
      <alignment horizontal="center" vertical="center"/>
    </xf>
    <xf numFmtId="166" fontId="0" fillId="8" borderId="1" applyAlignment="1" pivotButton="0" quotePrefix="0" xfId="0">
      <alignment horizontal="center" vertical="center"/>
    </xf>
    <xf numFmtId="167" fontId="0" fillId="8" borderId="1" applyAlignment="1" pivotButton="0" quotePrefix="0" xfId="0">
      <alignment horizontal="center" vertical="center"/>
    </xf>
    <xf numFmtId="169" fontId="0" fillId="8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left" vertical="center" indent="1"/>
    </xf>
    <xf numFmtId="0" fontId="6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 indent="1"/>
    </xf>
    <xf numFmtId="0" fontId="10" fillId="6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7" fontId="0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3">
    <dxf>
      <fill>
        <patternFill patternType="solid">
          <fgColor rgb="00D5F5E3"/>
          <bgColor rgb="00D5F5E3"/>
        </patternFill>
      </fill>
    </dxf>
    <dxf>
      <fill>
        <patternFill patternType="solid">
          <fgColor rgb="00FADBD8"/>
          <bgColor rgb="00FADBD8"/>
        </patternFill>
      </fill>
    </dxf>
    <dxf>
      <fill>
        <patternFill patternType="solid">
          <fgColor rgb="00FEF9E7"/>
          <bgColor rgb="00FEF9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Singles - Cumulative P/L</a:t>
            </a:r>
          </a:p>
        </rich>
      </tx>
    </title>
    <plotArea>
      <lineChart>
        <grouping val="standard"/>
        <ser>
          <idx val="0"/>
          <order val="0"/>
          <tx>
            <strRef>
              <f>'Singles'!N1</f>
            </strRef>
          </tx>
          <spPr>
            <a:ln w="20000">
              <a:solidFill>
                <a:srgbClr val="1E3A5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'Singles'!$N$2:$N$301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Bet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P/L ($)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Singles - Win / Loss Split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'Dashboard'!$N$32:$N$33</f>
            </numRef>
          </cat>
          <val>
            <numRef>
              <f>'Dashboard'!$O$32:$O$33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30</row>
      <rowOff>0</rowOff>
    </from>
    <ext cx="792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2" customWidth="1" min="7" max="7"/>
    <col width="18" customWidth="1" min="8" max="8"/>
    <col width="14" customWidth="1" min="9" max="9"/>
    <col width="14" customWidth="1" min="10" max="10"/>
    <col width="14" customWidth="1" min="11" max="11"/>
    <col width="14" customWidth="1" min="12" max="12"/>
    <col width="2" customWidth="1" min="13" max="13"/>
    <col width="14" customWidth="1" min="14" max="14"/>
  </cols>
  <sheetData>
    <row r="1" ht="48" customHeight="1">
      <c r="A1" s="1" t="inlineStr">
        <is>
          <t>BvP BETTING TRACKER</t>
        </is>
      </c>
    </row>
    <row r="2" ht="22" customHeight="1">
      <c r="A2" s="2" t="inlineStr">
        <is>
          <t>MLB Batter vs. Pitcher  |  Performance Dashboard</t>
        </is>
      </c>
    </row>
    <row r="3" ht="18" customHeight="1">
      <c r="A3" s="3" t="inlineStr">
        <is>
          <t>Enter picks on Singles / Daily Double / Smash Double tabs — stats update here automatically.</t>
        </is>
      </c>
    </row>
    <row r="5" ht="30" customHeight="1">
      <c r="B5" s="4" t="inlineStr">
        <is>
          <t>SINGLES</t>
        </is>
      </c>
      <c r="H5" s="5" t="inlineStr">
        <is>
          <t>DAILY DOUBLE</t>
        </is>
      </c>
    </row>
    <row r="6" ht="22" customHeight="1">
      <c r="B6" s="6" t="inlineStr">
        <is>
          <t>Bets Settled</t>
        </is>
      </c>
      <c r="C6" s="7">
        <f>COUNTIF(Singles!K2:K301,"Hit")+COUNTIF(Singles!K2:K301,"No Hit")</f>
        <v/>
      </c>
      <c r="H6" s="8" t="inlineStr">
        <is>
          <t>Bets Settled</t>
        </is>
      </c>
      <c r="I6" s="7">
        <f>COUNTIF('Daily Double'!O2:O301,"Win")+COUNTIF('Daily Double'!O2:O301,"Loss")</f>
        <v/>
      </c>
    </row>
    <row r="7" ht="22" customHeight="1">
      <c r="B7" s="6" t="inlineStr">
        <is>
          <t>Wins</t>
        </is>
      </c>
      <c r="C7" s="7">
        <f>COUNTIF(Singles!K2:K301,"Hit")</f>
        <v/>
      </c>
      <c r="H7" s="8" t="inlineStr">
        <is>
          <t>Wins</t>
        </is>
      </c>
      <c r="I7" s="7">
        <f>COUNTIF('Daily Double'!O2:O301,"Win")</f>
        <v/>
      </c>
    </row>
    <row r="8" ht="22" customHeight="1">
      <c r="B8" s="6" t="inlineStr">
        <is>
          <t>Losses</t>
        </is>
      </c>
      <c r="C8" s="7">
        <f>COUNTIF(Singles!K2:K301,"No Hit")</f>
        <v/>
      </c>
      <c r="H8" s="8" t="inlineStr">
        <is>
          <t>Losses</t>
        </is>
      </c>
      <c r="I8" s="7">
        <f>COUNTIF('Daily Double'!O2:O301,"Loss")</f>
        <v/>
      </c>
    </row>
    <row r="9" ht="22" customHeight="1">
      <c r="B9" s="6" t="inlineStr">
        <is>
          <t>Win Rate</t>
        </is>
      </c>
      <c r="C9" s="9">
        <f>IF(C6=0,"-",C7/C6)</f>
        <v/>
      </c>
      <c r="H9" s="8" t="inlineStr">
        <is>
          <t>Win Rate</t>
        </is>
      </c>
      <c r="I9" s="9">
        <f>IF(I6=0,"-",I7/I6)</f>
        <v/>
      </c>
    </row>
    <row r="10" ht="22" customHeight="1">
      <c r="B10" s="6" t="inlineStr">
        <is>
          <t>Total Staked</t>
        </is>
      </c>
      <c r="C10" s="10">
        <f>SUMIF(Singles!K2:K301,"Hit",Singles!J2:J301)+SUMIF(Singles!K2:K301,"No Hit",Singles!J2:J301)</f>
        <v/>
      </c>
      <c r="H10" s="8" t="inlineStr">
        <is>
          <t>Total Staked</t>
        </is>
      </c>
      <c r="I10" s="10">
        <f>SUMIF('Daily Double'!O2:O301,"Win",'Daily Double'!L2:L301)+SUMIF('Daily Double'!O2:O301,"Loss",'Daily Double'!L2:L301)</f>
        <v/>
      </c>
    </row>
    <row r="11" ht="22" customHeight="1">
      <c r="B11" s="6" t="inlineStr">
        <is>
          <t>Total P/L</t>
        </is>
      </c>
      <c r="C11" s="11">
        <f>SUM(Singles!M2:M301)</f>
        <v/>
      </c>
      <c r="H11" s="8" t="inlineStr">
        <is>
          <t>Total P/L</t>
        </is>
      </c>
      <c r="I11" s="11">
        <f>SUM('Daily Double'!Q2:Q301)</f>
        <v/>
      </c>
    </row>
    <row r="12" ht="22" customHeight="1">
      <c r="B12" s="6" t="inlineStr">
        <is>
          <t>ROI</t>
        </is>
      </c>
      <c r="C12" s="9">
        <f>IF(C10=0,"-",C11/C10)</f>
        <v/>
      </c>
      <c r="H12" s="8" t="inlineStr">
        <is>
          <t>ROI</t>
        </is>
      </c>
      <c r="I12" s="9">
        <f>IF(I10=0,"-",I11/I10)</f>
        <v/>
      </c>
    </row>
    <row r="13" ht="22" customHeight="1">
      <c r="B13" s="6" t="inlineStr">
        <is>
          <t>Avg Odds (Wins)</t>
        </is>
      </c>
      <c r="C13" s="12">
        <f>IF(C7=0,"-",AVERAGEIF(Singles!K2:K301,"Hit",Singles!I2:I301))</f>
        <v/>
      </c>
    </row>
    <row r="14" ht="30" customHeight="1">
      <c r="H14" s="13" t="inlineStr">
        <is>
          <t>SMASH DOUBLE</t>
        </is>
      </c>
    </row>
    <row r="15" ht="22" customHeight="1">
      <c r="B15" s="14" t="inlineStr">
        <is>
          <t>SINGLES BY CONFIDENCE</t>
        </is>
      </c>
      <c r="H15" s="15" t="inlineStr">
        <is>
          <t>Bets Settled</t>
        </is>
      </c>
      <c r="I15" s="7">
        <f>COUNTIF('Smash Double'!O2:O301,"Win")+COUNTIF('Smash Double'!O2:O301,"Loss")</f>
        <v/>
      </c>
    </row>
    <row r="16" ht="22" customHeight="1">
      <c r="B16" s="16" t="inlineStr">
        <is>
          <t>Tier</t>
        </is>
      </c>
      <c r="C16" s="16" t="inlineStr">
        <is>
          <t>Wins</t>
        </is>
      </c>
      <c r="D16" s="16" t="inlineStr">
        <is>
          <t>Losses</t>
        </is>
      </c>
      <c r="E16" s="16" t="inlineStr">
        <is>
          <t>Win %</t>
        </is>
      </c>
      <c r="F16" s="16" t="inlineStr">
        <is>
          <t>P/L ($)</t>
        </is>
      </c>
      <c r="H16" s="15" t="inlineStr">
        <is>
          <t>Wins</t>
        </is>
      </c>
      <c r="I16" s="7">
        <f>COUNTIF('Smash Double'!O2:O301,"Win")</f>
        <v/>
      </c>
    </row>
    <row r="17" ht="22" customHeight="1">
      <c r="B17" s="17" t="inlineStr">
        <is>
          <t>High</t>
        </is>
      </c>
      <c r="C17" s="7">
        <f>COUNTIFS(Singles!G2:G301,"High",Singles!K2:K301,"Hit")</f>
        <v/>
      </c>
      <c r="D17" s="7">
        <f>COUNTIFS(Singles!G2:G301,"High",Singles!K2:K301,"No Hit")</f>
        <v/>
      </c>
      <c r="E17" s="9">
        <f>IF(C17+D17=0,"-",C17/(C17+D17))</f>
        <v/>
      </c>
      <c r="F17" s="11">
        <f>SUMPRODUCT((Singles!G2:G301="High")*(ISNUMBER(Singles!M2:M301))*Singles!M2:M301)</f>
        <v/>
      </c>
      <c r="H17" s="15" t="inlineStr">
        <is>
          <t>Losses</t>
        </is>
      </c>
      <c r="I17" s="7">
        <f>COUNTIF('Smash Double'!O2:O301,"Loss")</f>
        <v/>
      </c>
    </row>
    <row r="18" ht="22" customHeight="1">
      <c r="B18" s="18" t="inlineStr">
        <is>
          <t>Medium</t>
        </is>
      </c>
      <c r="C18" s="7">
        <f>COUNTIFS(Singles!G2:G301,"Medium",Singles!K2:K301,"Hit")</f>
        <v/>
      </c>
      <c r="D18" s="7">
        <f>COUNTIFS(Singles!G2:G301,"Medium",Singles!K2:K301,"No Hit")</f>
        <v/>
      </c>
      <c r="E18" s="9">
        <f>IF(C18+D18=0,"-",C18/(C18+D18))</f>
        <v/>
      </c>
      <c r="F18" s="11">
        <f>SUMPRODUCT((Singles!G2:G301="Medium")*(ISNUMBER(Singles!M2:M301))*Singles!M2:M301)</f>
        <v/>
      </c>
      <c r="H18" s="15" t="inlineStr">
        <is>
          <t>Win Rate</t>
        </is>
      </c>
      <c r="I18" s="9">
        <f>IF(I15=0,"-",I16/I15)</f>
        <v/>
      </c>
    </row>
    <row r="19" ht="22" customHeight="1">
      <c r="B19" s="19" t="inlineStr">
        <is>
          <t>Low</t>
        </is>
      </c>
      <c r="C19" s="7">
        <f>COUNTIFS(Singles!G2:G301,"Low",Singles!K2:K301,"Hit")</f>
        <v/>
      </c>
      <c r="D19" s="7">
        <f>COUNTIFS(Singles!G2:G301,"Low",Singles!K2:K301,"No Hit")</f>
        <v/>
      </c>
      <c r="E19" s="9">
        <f>IF(C19+D19=0,"-",C19/(C19+D19))</f>
        <v/>
      </c>
      <c r="F19" s="11">
        <f>SUMPRODUCT((Singles!G2:G301="Low")*(ISNUMBER(Singles!M2:M301))*Singles!M2:M301)</f>
        <v/>
      </c>
      <c r="H19" s="15" t="inlineStr">
        <is>
          <t>Total Staked</t>
        </is>
      </c>
      <c r="I19" s="10">
        <f>SUMIF('Smash Double'!O2:O301,"Win",'Smash Double'!L2:L301)+SUMIF('Smash Double'!O2:O301,"Loss",'Smash Double'!L2:L301)</f>
        <v/>
      </c>
    </row>
    <row r="20" ht="22" customHeight="1">
      <c r="H20" s="15" t="inlineStr">
        <is>
          <t>Total P/L</t>
        </is>
      </c>
      <c r="I20" s="11">
        <f>SUM('Smash Double'!Q2:Q301)</f>
        <v/>
      </c>
    </row>
    <row r="21" ht="22" customHeight="1">
      <c r="H21" s="15" t="inlineStr">
        <is>
          <t>ROI</t>
        </is>
      </c>
      <c r="I21" s="9">
        <f>IF(I19=0,"-",I20/I19)</f>
        <v/>
      </c>
    </row>
    <row r="24" ht="32" customHeight="1">
      <c r="B24" s="20" t="inlineStr">
        <is>
          <t>COMBINED PERFORMANCE</t>
        </is>
      </c>
    </row>
    <row r="25" ht="22" customHeight="1">
      <c r="B25" s="21" t="inlineStr">
        <is>
          <t>Total Bets</t>
        </is>
      </c>
      <c r="C25" s="7">
        <f>C6+I6+I15</f>
        <v/>
      </c>
    </row>
    <row r="26" ht="22" customHeight="1">
      <c r="B26" s="21" t="inlineStr">
        <is>
          <t>Total Staked</t>
        </is>
      </c>
      <c r="C26" s="10">
        <f>C10+I10+I19</f>
        <v/>
      </c>
    </row>
    <row r="27" ht="22" customHeight="1">
      <c r="B27" s="21" t="inlineStr">
        <is>
          <t>Total P/L</t>
        </is>
      </c>
      <c r="C27" s="11">
        <f>C11+I11+I20</f>
        <v/>
      </c>
    </row>
    <row r="28" ht="22" customHeight="1">
      <c r="B28" s="21" t="inlineStr">
        <is>
          <t>Overall ROI</t>
        </is>
      </c>
      <c r="C28" s="9">
        <f>IF(C26=0,"-",C27/C26)</f>
        <v/>
      </c>
    </row>
    <row r="31">
      <c r="N31" s="22" t="inlineStr">
        <is>
          <t>Result</t>
        </is>
      </c>
      <c r="O31" s="22" t="n"/>
    </row>
    <row r="32">
      <c r="N32" s="22" t="inlineStr">
        <is>
          <t>Wins</t>
        </is>
      </c>
      <c r="O32" s="22">
        <f>C7</f>
        <v/>
      </c>
    </row>
    <row r="33">
      <c r="N33" s="22" t="inlineStr">
        <is>
          <t>Losses</t>
        </is>
      </c>
      <c r="O33" s="22">
        <f>C8</f>
        <v/>
      </c>
    </row>
  </sheetData>
  <mergeCells count="34">
    <mergeCell ref="C27:L27"/>
    <mergeCell ref="I17:L17"/>
    <mergeCell ref="C8:F8"/>
    <mergeCell ref="I8:L8"/>
    <mergeCell ref="C7:F7"/>
    <mergeCell ref="I20:L20"/>
    <mergeCell ref="I10:L10"/>
    <mergeCell ref="I19:L19"/>
    <mergeCell ref="C28:L28"/>
    <mergeCell ref="A1:N1"/>
    <mergeCell ref="C13:F13"/>
    <mergeCell ref="I9:L9"/>
    <mergeCell ref="C6:F6"/>
    <mergeCell ref="I6:L6"/>
    <mergeCell ref="I15:L15"/>
    <mergeCell ref="I11:L11"/>
    <mergeCell ref="A3:N3"/>
    <mergeCell ref="A2:N2"/>
    <mergeCell ref="C26:L26"/>
    <mergeCell ref="I16:L16"/>
    <mergeCell ref="I7:L7"/>
    <mergeCell ref="C10:F10"/>
    <mergeCell ref="C25:L25"/>
    <mergeCell ref="C9:F9"/>
    <mergeCell ref="I18:L18"/>
    <mergeCell ref="B15:F15"/>
    <mergeCell ref="I21:L21"/>
    <mergeCell ref="C12:F12"/>
    <mergeCell ref="I12:L12"/>
    <mergeCell ref="B5:F5"/>
    <mergeCell ref="B24:L24"/>
    <mergeCell ref="H14:L14"/>
    <mergeCell ref="C11:F11"/>
    <mergeCell ref="H5:L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8" customWidth="1" min="4" max="4"/>
    <col width="9" customWidth="1" min="5" max="5"/>
    <col width="6" customWidth="1" min="6" max="6"/>
    <col width="9" customWidth="1" min="7" max="7"/>
    <col width="14" customWidth="1" min="8" max="8"/>
    <col width="8" customWidth="1" min="9" max="9"/>
    <col width="10" customWidth="1" min="10" max="10"/>
    <col width="10" customWidth="1" min="11" max="11"/>
    <col width="11" customWidth="1" min="12" max="12"/>
    <col width="10" customWidth="1" min="13" max="13"/>
    <col width="14" customWidth="1" min="14" max="14"/>
    <col width="28" customWidth="1" min="15" max="15"/>
  </cols>
  <sheetData>
    <row r="1" ht="32" customHeight="1">
      <c r="A1" s="23" t="inlineStr">
        <is>
          <t>Date</t>
        </is>
      </c>
      <c r="B1" s="23" t="inlineStr">
        <is>
          <t>Batter</t>
        </is>
      </c>
      <c r="C1" s="23" t="inlineStr">
        <is>
          <t>Pitcher</t>
        </is>
      </c>
      <c r="D1" s="23" t="inlineStr">
        <is>
          <t>Team</t>
        </is>
      </c>
      <c r="E1" s="23" t="inlineStr">
        <is>
          <t>BvP AVG</t>
        </is>
      </c>
      <c r="F1" s="23" t="inlineStr">
        <is>
          <t>AB</t>
        </is>
      </c>
      <c r="G1" s="23" t="inlineStr">
        <is>
          <t>Conf.</t>
        </is>
      </c>
      <c r="H1" s="23" t="inlineStr">
        <is>
          <t>Book</t>
        </is>
      </c>
      <c r="I1" s="23" t="inlineStr">
        <is>
          <t>Odds</t>
        </is>
      </c>
      <c r="J1" s="23" t="inlineStr">
        <is>
          <t>Stake ($)</t>
        </is>
      </c>
      <c r="K1" s="23" t="inlineStr">
        <is>
          <t>Result</t>
        </is>
      </c>
      <c r="L1" s="23" t="inlineStr">
        <is>
          <t>To Win ($)</t>
        </is>
      </c>
      <c r="M1" s="23" t="inlineStr">
        <is>
          <t>P/L ($)</t>
        </is>
      </c>
      <c r="N1" s="23" t="inlineStr">
        <is>
          <t>Cum. P/L ($)</t>
        </is>
      </c>
      <c r="O1" s="23" t="inlineStr">
        <is>
          <t>Notes</t>
        </is>
      </c>
    </row>
    <row r="2">
      <c r="A2" s="24" t="n"/>
      <c r="B2" s="25" t="n"/>
      <c r="C2" s="25" t="n"/>
      <c r="D2" s="25" t="n"/>
      <c r="E2" s="26" t="n"/>
      <c r="F2" s="27" t="n"/>
      <c r="G2" s="27" t="n"/>
      <c r="H2" s="27" t="n"/>
      <c r="I2" s="27" t="n"/>
      <c r="J2" s="28" t="n"/>
      <c r="K2" s="27" t="n"/>
      <c r="L2" s="28">
        <f>IF(OR(I2="",J2=""),"",IF(I2&gt;0,J2*(I2/100),J2*(100/(-I2))))</f>
        <v/>
      </c>
      <c r="M2" s="29">
        <f>IF(K2="Hit",L2,IF(K2="No Hit",-J2,""))</f>
        <v/>
      </c>
      <c r="N2" s="29">
        <f>IF(M2="","",SUM($M$2:M2))</f>
        <v/>
      </c>
      <c r="O2" s="25" t="n"/>
    </row>
    <row r="3">
      <c r="A3" s="24" t="n"/>
      <c r="B3" s="25" t="n"/>
      <c r="C3" s="25" t="n"/>
      <c r="D3" s="25" t="n"/>
      <c r="E3" s="26" t="n"/>
      <c r="F3" s="27" t="n"/>
      <c r="G3" s="27" t="n"/>
      <c r="H3" s="27" t="n"/>
      <c r="I3" s="27" t="n"/>
      <c r="J3" s="28" t="n"/>
      <c r="K3" s="27" t="n"/>
      <c r="L3" s="28">
        <f>IF(OR(I3="",J3=""),"",IF(I3&gt;0,J3*(I3/100),J3*(100/(-I3))))</f>
        <v/>
      </c>
      <c r="M3" s="29">
        <f>IF(K3="Hit",L3,IF(K3="No Hit",-J3,""))</f>
        <v/>
      </c>
      <c r="N3" s="29">
        <f>IF(M3="","",SUM($M$2:M3))</f>
        <v/>
      </c>
      <c r="O3" s="25" t="n"/>
    </row>
    <row r="4">
      <c r="A4" s="24" t="n"/>
      <c r="B4" s="25" t="n"/>
      <c r="C4" s="25" t="n"/>
      <c r="D4" s="25" t="n"/>
      <c r="E4" s="26" t="n"/>
      <c r="F4" s="27" t="n"/>
      <c r="G4" s="27" t="n"/>
      <c r="H4" s="27" t="n"/>
      <c r="I4" s="27" t="n"/>
      <c r="J4" s="28" t="n"/>
      <c r="K4" s="27" t="n"/>
      <c r="L4" s="28">
        <f>IF(OR(I4="",J4=""),"",IF(I4&gt;0,J4*(I4/100),J4*(100/(-I4))))</f>
        <v/>
      </c>
      <c r="M4" s="29">
        <f>IF(K4="Hit",L4,IF(K4="No Hit",-J4,""))</f>
        <v/>
      </c>
      <c r="N4" s="29">
        <f>IF(M4="","",SUM($M$2:M4))</f>
        <v/>
      </c>
      <c r="O4" s="25" t="n"/>
    </row>
    <row r="5">
      <c r="A5" s="24" t="n"/>
      <c r="B5" s="25" t="n"/>
      <c r="C5" s="25" t="n"/>
      <c r="D5" s="25" t="n"/>
      <c r="E5" s="26" t="n"/>
      <c r="F5" s="27" t="n"/>
      <c r="G5" s="27" t="n"/>
      <c r="H5" s="27" t="n"/>
      <c r="I5" s="27" t="n"/>
      <c r="J5" s="28" t="n"/>
      <c r="K5" s="27" t="n"/>
      <c r="L5" s="28">
        <f>IF(OR(I5="",J5=""),"",IF(I5&gt;0,J5*(I5/100),J5*(100/(-I5))))</f>
        <v/>
      </c>
      <c r="M5" s="29">
        <f>IF(K5="Hit",L5,IF(K5="No Hit",-J5,""))</f>
        <v/>
      </c>
      <c r="N5" s="29">
        <f>IF(M5="","",SUM($M$2:M5))</f>
        <v/>
      </c>
      <c r="O5" s="25" t="n"/>
    </row>
    <row r="6">
      <c r="A6" s="24" t="n"/>
      <c r="B6" s="25" t="n"/>
      <c r="C6" s="25" t="n"/>
      <c r="D6" s="25" t="n"/>
      <c r="E6" s="26" t="n"/>
      <c r="F6" s="27" t="n"/>
      <c r="G6" s="27" t="n"/>
      <c r="H6" s="27" t="n"/>
      <c r="I6" s="27" t="n"/>
      <c r="J6" s="28" t="n"/>
      <c r="K6" s="27" t="n"/>
      <c r="L6" s="28">
        <f>IF(OR(I6="",J6=""),"",IF(I6&gt;0,J6*(I6/100),J6*(100/(-I6))))</f>
        <v/>
      </c>
      <c r="M6" s="29">
        <f>IF(K6="Hit",L6,IF(K6="No Hit",-J6,""))</f>
        <v/>
      </c>
      <c r="N6" s="29">
        <f>IF(M6="","",SUM($M$2:M6))</f>
        <v/>
      </c>
      <c r="O6" s="25" t="n"/>
    </row>
    <row r="7">
      <c r="A7" s="24" t="n"/>
      <c r="B7" s="25" t="n"/>
      <c r="C7" s="25" t="n"/>
      <c r="D7" s="25" t="n"/>
      <c r="E7" s="26" t="n"/>
      <c r="F7" s="27" t="n"/>
      <c r="G7" s="27" t="n"/>
      <c r="H7" s="27" t="n"/>
      <c r="I7" s="27" t="n"/>
      <c r="J7" s="28" t="n"/>
      <c r="K7" s="27" t="n"/>
      <c r="L7" s="28">
        <f>IF(OR(I7="",J7=""),"",IF(I7&gt;0,J7*(I7/100),J7*(100/(-I7))))</f>
        <v/>
      </c>
      <c r="M7" s="29">
        <f>IF(K7="Hit",L7,IF(K7="No Hit",-J7,""))</f>
        <v/>
      </c>
      <c r="N7" s="29">
        <f>IF(M7="","",SUM($M$2:M7))</f>
        <v/>
      </c>
      <c r="O7" s="25" t="n"/>
    </row>
    <row r="8">
      <c r="A8" s="24" t="n"/>
      <c r="B8" s="25" t="n"/>
      <c r="C8" s="25" t="n"/>
      <c r="D8" s="25" t="n"/>
      <c r="E8" s="26" t="n"/>
      <c r="F8" s="27" t="n"/>
      <c r="G8" s="27" t="n"/>
      <c r="H8" s="27" t="n"/>
      <c r="I8" s="27" t="n"/>
      <c r="J8" s="28" t="n"/>
      <c r="K8" s="27" t="n"/>
      <c r="L8" s="28">
        <f>IF(OR(I8="",J8=""),"",IF(I8&gt;0,J8*(I8/100),J8*(100/(-I8))))</f>
        <v/>
      </c>
      <c r="M8" s="29">
        <f>IF(K8="Hit",L8,IF(K8="No Hit",-J8,""))</f>
        <v/>
      </c>
      <c r="N8" s="29">
        <f>IF(M8="","",SUM($M$2:M8))</f>
        <v/>
      </c>
      <c r="O8" s="25" t="n"/>
    </row>
    <row r="9">
      <c r="A9" s="24" t="n"/>
      <c r="B9" s="25" t="n"/>
      <c r="C9" s="25" t="n"/>
      <c r="D9" s="25" t="n"/>
      <c r="E9" s="26" t="n"/>
      <c r="F9" s="27" t="n"/>
      <c r="G9" s="27" t="n"/>
      <c r="H9" s="27" t="n"/>
      <c r="I9" s="27" t="n"/>
      <c r="J9" s="28" t="n"/>
      <c r="K9" s="27" t="n"/>
      <c r="L9" s="28">
        <f>IF(OR(I9="",J9=""),"",IF(I9&gt;0,J9*(I9/100),J9*(100/(-I9))))</f>
        <v/>
      </c>
      <c r="M9" s="29">
        <f>IF(K9="Hit",L9,IF(K9="No Hit",-J9,""))</f>
        <v/>
      </c>
      <c r="N9" s="29">
        <f>IF(M9="","",SUM($M$2:M9))</f>
        <v/>
      </c>
      <c r="O9" s="25" t="n"/>
    </row>
    <row r="10">
      <c r="A10" s="24" t="n"/>
      <c r="B10" s="25" t="n"/>
      <c r="C10" s="25" t="n"/>
      <c r="D10" s="25" t="n"/>
      <c r="E10" s="26" t="n"/>
      <c r="F10" s="27" t="n"/>
      <c r="G10" s="27" t="n"/>
      <c r="H10" s="27" t="n"/>
      <c r="I10" s="27" t="n"/>
      <c r="J10" s="28" t="n"/>
      <c r="K10" s="27" t="n"/>
      <c r="L10" s="28">
        <f>IF(OR(I10="",J10=""),"",IF(I10&gt;0,J10*(I10/100),J10*(100/(-I10))))</f>
        <v/>
      </c>
      <c r="M10" s="29">
        <f>IF(K10="Hit",L10,IF(K10="No Hit",-J10,""))</f>
        <v/>
      </c>
      <c r="N10" s="29">
        <f>IF(M10="","",SUM($M$2:M10))</f>
        <v/>
      </c>
      <c r="O10" s="25" t="n"/>
    </row>
    <row r="11">
      <c r="A11" s="24" t="n"/>
      <c r="B11" s="25" t="n"/>
      <c r="C11" s="25" t="n"/>
      <c r="D11" s="25" t="n"/>
      <c r="E11" s="26" t="n"/>
      <c r="F11" s="27" t="n"/>
      <c r="G11" s="27" t="n"/>
      <c r="H11" s="27" t="n"/>
      <c r="I11" s="27" t="n"/>
      <c r="J11" s="28" t="n"/>
      <c r="K11" s="27" t="n"/>
      <c r="L11" s="28">
        <f>IF(OR(I11="",J11=""),"",IF(I11&gt;0,J11*(I11/100),J11*(100/(-I11))))</f>
        <v/>
      </c>
      <c r="M11" s="29">
        <f>IF(K11="Hit",L11,IF(K11="No Hit",-J11,""))</f>
        <v/>
      </c>
      <c r="N11" s="29">
        <f>IF(M11="","",SUM($M$2:M11))</f>
        <v/>
      </c>
      <c r="O11" s="25" t="n"/>
    </row>
    <row r="12">
      <c r="A12" s="24" t="n"/>
      <c r="B12" s="25" t="n"/>
      <c r="C12" s="25" t="n"/>
      <c r="D12" s="25" t="n"/>
      <c r="E12" s="26" t="n"/>
      <c r="F12" s="27" t="n"/>
      <c r="G12" s="27" t="n"/>
      <c r="H12" s="27" t="n"/>
      <c r="I12" s="27" t="n"/>
      <c r="J12" s="28" t="n"/>
      <c r="K12" s="27" t="n"/>
      <c r="L12" s="28">
        <f>IF(OR(I12="",J12=""),"",IF(I12&gt;0,J12*(I12/100),J12*(100/(-I12))))</f>
        <v/>
      </c>
      <c r="M12" s="29">
        <f>IF(K12="Hit",L12,IF(K12="No Hit",-J12,""))</f>
        <v/>
      </c>
      <c r="N12" s="29">
        <f>IF(M12="","",SUM($M$2:M12))</f>
        <v/>
      </c>
      <c r="O12" s="25" t="n"/>
    </row>
    <row r="13">
      <c r="A13" s="24" t="n"/>
      <c r="B13" s="25" t="n"/>
      <c r="C13" s="25" t="n"/>
      <c r="D13" s="25" t="n"/>
      <c r="E13" s="26" t="n"/>
      <c r="F13" s="27" t="n"/>
      <c r="G13" s="27" t="n"/>
      <c r="H13" s="27" t="n"/>
      <c r="I13" s="27" t="n"/>
      <c r="J13" s="28" t="n"/>
      <c r="K13" s="27" t="n"/>
      <c r="L13" s="28">
        <f>IF(OR(I13="",J13=""),"",IF(I13&gt;0,J13*(I13/100),J13*(100/(-I13))))</f>
        <v/>
      </c>
      <c r="M13" s="29">
        <f>IF(K13="Hit",L13,IF(K13="No Hit",-J13,""))</f>
        <v/>
      </c>
      <c r="N13" s="29">
        <f>IF(M13="","",SUM($M$2:M13))</f>
        <v/>
      </c>
      <c r="O13" s="25" t="n"/>
    </row>
    <row r="14">
      <c r="A14" s="24" t="n"/>
      <c r="B14" s="25" t="n"/>
      <c r="C14" s="25" t="n"/>
      <c r="D14" s="25" t="n"/>
      <c r="E14" s="26" t="n"/>
      <c r="F14" s="27" t="n"/>
      <c r="G14" s="27" t="n"/>
      <c r="H14" s="27" t="n"/>
      <c r="I14" s="27" t="n"/>
      <c r="J14" s="28" t="n"/>
      <c r="K14" s="27" t="n"/>
      <c r="L14" s="28">
        <f>IF(OR(I14="",J14=""),"",IF(I14&gt;0,J14*(I14/100),J14*(100/(-I14))))</f>
        <v/>
      </c>
      <c r="M14" s="29">
        <f>IF(K14="Hit",L14,IF(K14="No Hit",-J14,""))</f>
        <v/>
      </c>
      <c r="N14" s="29">
        <f>IF(M14="","",SUM($M$2:M14))</f>
        <v/>
      </c>
      <c r="O14" s="25" t="n"/>
    </row>
    <row r="15">
      <c r="A15" s="24" t="n"/>
      <c r="B15" s="25" t="n"/>
      <c r="C15" s="25" t="n"/>
      <c r="D15" s="25" t="n"/>
      <c r="E15" s="26" t="n"/>
      <c r="F15" s="27" t="n"/>
      <c r="G15" s="27" t="n"/>
      <c r="H15" s="27" t="n"/>
      <c r="I15" s="27" t="n"/>
      <c r="J15" s="28" t="n"/>
      <c r="K15" s="27" t="n"/>
      <c r="L15" s="28">
        <f>IF(OR(I15="",J15=""),"",IF(I15&gt;0,J15*(I15/100),J15*(100/(-I15))))</f>
        <v/>
      </c>
      <c r="M15" s="29">
        <f>IF(K15="Hit",L15,IF(K15="No Hit",-J15,""))</f>
        <v/>
      </c>
      <c r="N15" s="29">
        <f>IF(M15="","",SUM($M$2:M15))</f>
        <v/>
      </c>
      <c r="O15" s="25" t="n"/>
    </row>
    <row r="16">
      <c r="A16" s="24" t="n"/>
      <c r="B16" s="25" t="n"/>
      <c r="C16" s="25" t="n"/>
      <c r="D16" s="25" t="n"/>
      <c r="E16" s="26" t="n"/>
      <c r="F16" s="27" t="n"/>
      <c r="G16" s="27" t="n"/>
      <c r="H16" s="27" t="n"/>
      <c r="I16" s="27" t="n"/>
      <c r="J16" s="28" t="n"/>
      <c r="K16" s="27" t="n"/>
      <c r="L16" s="28">
        <f>IF(OR(I16="",J16=""),"",IF(I16&gt;0,J16*(I16/100),J16*(100/(-I16))))</f>
        <v/>
      </c>
      <c r="M16" s="29">
        <f>IF(K16="Hit",L16,IF(K16="No Hit",-J16,""))</f>
        <v/>
      </c>
      <c r="N16" s="29">
        <f>IF(M16="","",SUM($M$2:M16))</f>
        <v/>
      </c>
      <c r="O16" s="25" t="n"/>
    </row>
    <row r="17">
      <c r="A17" s="24" t="n"/>
      <c r="B17" s="25" t="n"/>
      <c r="C17" s="25" t="n"/>
      <c r="D17" s="25" t="n"/>
      <c r="E17" s="26" t="n"/>
      <c r="F17" s="27" t="n"/>
      <c r="G17" s="27" t="n"/>
      <c r="H17" s="27" t="n"/>
      <c r="I17" s="27" t="n"/>
      <c r="J17" s="28" t="n"/>
      <c r="K17" s="27" t="n"/>
      <c r="L17" s="28">
        <f>IF(OR(I17="",J17=""),"",IF(I17&gt;0,J17*(I17/100),J17*(100/(-I17))))</f>
        <v/>
      </c>
      <c r="M17" s="29">
        <f>IF(K17="Hit",L17,IF(K17="No Hit",-J17,""))</f>
        <v/>
      </c>
      <c r="N17" s="29">
        <f>IF(M17="","",SUM($M$2:M17))</f>
        <v/>
      </c>
      <c r="O17" s="25" t="n"/>
    </row>
    <row r="18">
      <c r="A18" s="24" t="n"/>
      <c r="B18" s="25" t="n"/>
      <c r="C18" s="25" t="n"/>
      <c r="D18" s="25" t="n"/>
      <c r="E18" s="26" t="n"/>
      <c r="F18" s="27" t="n"/>
      <c r="G18" s="27" t="n"/>
      <c r="H18" s="27" t="n"/>
      <c r="I18" s="27" t="n"/>
      <c r="J18" s="28" t="n"/>
      <c r="K18" s="27" t="n"/>
      <c r="L18" s="28">
        <f>IF(OR(I18="",J18=""),"",IF(I18&gt;0,J18*(I18/100),J18*(100/(-I18))))</f>
        <v/>
      </c>
      <c r="M18" s="29">
        <f>IF(K18="Hit",L18,IF(K18="No Hit",-J18,""))</f>
        <v/>
      </c>
      <c r="N18" s="29">
        <f>IF(M18="","",SUM($M$2:M18))</f>
        <v/>
      </c>
      <c r="O18" s="25" t="n"/>
    </row>
    <row r="19">
      <c r="A19" s="24" t="n"/>
      <c r="B19" s="25" t="n"/>
      <c r="C19" s="25" t="n"/>
      <c r="D19" s="25" t="n"/>
      <c r="E19" s="26" t="n"/>
      <c r="F19" s="27" t="n"/>
      <c r="G19" s="27" t="n"/>
      <c r="H19" s="27" t="n"/>
      <c r="I19" s="27" t="n"/>
      <c r="J19" s="28" t="n"/>
      <c r="K19" s="27" t="n"/>
      <c r="L19" s="28">
        <f>IF(OR(I19="",J19=""),"",IF(I19&gt;0,J19*(I19/100),J19*(100/(-I19))))</f>
        <v/>
      </c>
      <c r="M19" s="29">
        <f>IF(K19="Hit",L19,IF(K19="No Hit",-J19,""))</f>
        <v/>
      </c>
      <c r="N19" s="29">
        <f>IF(M19="","",SUM($M$2:M19))</f>
        <v/>
      </c>
      <c r="O19" s="25" t="n"/>
    </row>
    <row r="20">
      <c r="A20" s="24" t="n"/>
      <c r="B20" s="25" t="n"/>
      <c r="C20" s="25" t="n"/>
      <c r="D20" s="25" t="n"/>
      <c r="E20" s="26" t="n"/>
      <c r="F20" s="27" t="n"/>
      <c r="G20" s="27" t="n"/>
      <c r="H20" s="27" t="n"/>
      <c r="I20" s="27" t="n"/>
      <c r="J20" s="28" t="n"/>
      <c r="K20" s="27" t="n"/>
      <c r="L20" s="28">
        <f>IF(OR(I20="",J20=""),"",IF(I20&gt;0,J20*(I20/100),J20*(100/(-I20))))</f>
        <v/>
      </c>
      <c r="M20" s="29">
        <f>IF(K20="Hit",L20,IF(K20="No Hit",-J20,""))</f>
        <v/>
      </c>
      <c r="N20" s="29">
        <f>IF(M20="","",SUM($M$2:M20))</f>
        <v/>
      </c>
      <c r="O20" s="25" t="n"/>
    </row>
    <row r="21">
      <c r="A21" s="24" t="n"/>
      <c r="B21" s="25" t="n"/>
      <c r="C21" s="25" t="n"/>
      <c r="D21" s="25" t="n"/>
      <c r="E21" s="26" t="n"/>
      <c r="F21" s="27" t="n"/>
      <c r="G21" s="27" t="n"/>
      <c r="H21" s="27" t="n"/>
      <c r="I21" s="27" t="n"/>
      <c r="J21" s="28" t="n"/>
      <c r="K21" s="27" t="n"/>
      <c r="L21" s="28">
        <f>IF(OR(I21="",J21=""),"",IF(I21&gt;0,J21*(I21/100),J21*(100/(-I21))))</f>
        <v/>
      </c>
      <c r="M21" s="29">
        <f>IF(K21="Hit",L21,IF(K21="No Hit",-J21,""))</f>
        <v/>
      </c>
      <c r="N21" s="29">
        <f>IF(M21="","",SUM($M$2:M21))</f>
        <v/>
      </c>
      <c r="O21" s="25" t="n"/>
    </row>
    <row r="22">
      <c r="A22" s="24" t="n"/>
      <c r="B22" s="25" t="n"/>
      <c r="C22" s="25" t="n"/>
      <c r="D22" s="25" t="n"/>
      <c r="E22" s="26" t="n"/>
      <c r="F22" s="27" t="n"/>
      <c r="G22" s="27" t="n"/>
      <c r="H22" s="27" t="n"/>
      <c r="I22" s="27" t="n"/>
      <c r="J22" s="28" t="n"/>
      <c r="K22" s="27" t="n"/>
      <c r="L22" s="28">
        <f>IF(OR(I22="",J22=""),"",IF(I22&gt;0,J22*(I22/100),J22*(100/(-I22))))</f>
        <v/>
      </c>
      <c r="M22" s="29">
        <f>IF(K22="Hit",L22,IF(K22="No Hit",-J22,""))</f>
        <v/>
      </c>
      <c r="N22" s="29">
        <f>IF(M22="","",SUM($M$2:M22))</f>
        <v/>
      </c>
      <c r="O22" s="25" t="n"/>
    </row>
    <row r="23">
      <c r="A23" s="24" t="n"/>
      <c r="B23" s="25" t="n"/>
      <c r="C23" s="25" t="n"/>
      <c r="D23" s="25" t="n"/>
      <c r="E23" s="26" t="n"/>
      <c r="F23" s="27" t="n"/>
      <c r="G23" s="27" t="n"/>
      <c r="H23" s="27" t="n"/>
      <c r="I23" s="27" t="n"/>
      <c r="J23" s="28" t="n"/>
      <c r="K23" s="27" t="n"/>
      <c r="L23" s="28">
        <f>IF(OR(I23="",J23=""),"",IF(I23&gt;0,J23*(I23/100),J23*(100/(-I23))))</f>
        <v/>
      </c>
      <c r="M23" s="29">
        <f>IF(K23="Hit",L23,IF(K23="No Hit",-J23,""))</f>
        <v/>
      </c>
      <c r="N23" s="29">
        <f>IF(M23="","",SUM($M$2:M23))</f>
        <v/>
      </c>
      <c r="O23" s="25" t="n"/>
    </row>
    <row r="24">
      <c r="A24" s="24" t="n"/>
      <c r="B24" s="25" t="n"/>
      <c r="C24" s="25" t="n"/>
      <c r="D24" s="25" t="n"/>
      <c r="E24" s="26" t="n"/>
      <c r="F24" s="27" t="n"/>
      <c r="G24" s="27" t="n"/>
      <c r="H24" s="27" t="n"/>
      <c r="I24" s="27" t="n"/>
      <c r="J24" s="28" t="n"/>
      <c r="K24" s="27" t="n"/>
      <c r="L24" s="28">
        <f>IF(OR(I24="",J24=""),"",IF(I24&gt;0,J24*(I24/100),J24*(100/(-I24))))</f>
        <v/>
      </c>
      <c r="M24" s="29">
        <f>IF(K24="Hit",L24,IF(K24="No Hit",-J24,""))</f>
        <v/>
      </c>
      <c r="N24" s="29">
        <f>IF(M24="","",SUM($M$2:M24))</f>
        <v/>
      </c>
      <c r="O24" s="25" t="n"/>
    </row>
    <row r="25">
      <c r="A25" s="24" t="n"/>
      <c r="B25" s="25" t="n"/>
      <c r="C25" s="25" t="n"/>
      <c r="D25" s="25" t="n"/>
      <c r="E25" s="26" t="n"/>
      <c r="F25" s="27" t="n"/>
      <c r="G25" s="27" t="n"/>
      <c r="H25" s="27" t="n"/>
      <c r="I25" s="27" t="n"/>
      <c r="J25" s="28" t="n"/>
      <c r="K25" s="27" t="n"/>
      <c r="L25" s="28">
        <f>IF(OR(I25="",J25=""),"",IF(I25&gt;0,J25*(I25/100),J25*(100/(-I25))))</f>
        <v/>
      </c>
      <c r="M25" s="29">
        <f>IF(K25="Hit",L25,IF(K25="No Hit",-J25,""))</f>
        <v/>
      </c>
      <c r="N25" s="29">
        <f>IF(M25="","",SUM($M$2:M25))</f>
        <v/>
      </c>
      <c r="O25" s="25" t="n"/>
    </row>
    <row r="26">
      <c r="A26" s="24" t="n"/>
      <c r="B26" s="25" t="n"/>
      <c r="C26" s="25" t="n"/>
      <c r="D26" s="25" t="n"/>
      <c r="E26" s="26" t="n"/>
      <c r="F26" s="27" t="n"/>
      <c r="G26" s="27" t="n"/>
      <c r="H26" s="27" t="n"/>
      <c r="I26" s="27" t="n"/>
      <c r="J26" s="28" t="n"/>
      <c r="K26" s="27" t="n"/>
      <c r="L26" s="28">
        <f>IF(OR(I26="",J26=""),"",IF(I26&gt;0,J26*(I26/100),J26*(100/(-I26))))</f>
        <v/>
      </c>
      <c r="M26" s="29">
        <f>IF(K26="Hit",L26,IF(K26="No Hit",-J26,""))</f>
        <v/>
      </c>
      <c r="N26" s="29">
        <f>IF(M26="","",SUM($M$2:M26))</f>
        <v/>
      </c>
      <c r="O26" s="25" t="n"/>
    </row>
    <row r="27">
      <c r="A27" s="24" t="n"/>
      <c r="B27" s="25" t="n"/>
      <c r="C27" s="25" t="n"/>
      <c r="D27" s="25" t="n"/>
      <c r="E27" s="26" t="n"/>
      <c r="F27" s="27" t="n"/>
      <c r="G27" s="27" t="n"/>
      <c r="H27" s="27" t="n"/>
      <c r="I27" s="27" t="n"/>
      <c r="J27" s="28" t="n"/>
      <c r="K27" s="27" t="n"/>
      <c r="L27" s="28">
        <f>IF(OR(I27="",J27=""),"",IF(I27&gt;0,J27*(I27/100),J27*(100/(-I27))))</f>
        <v/>
      </c>
      <c r="M27" s="29">
        <f>IF(K27="Hit",L27,IF(K27="No Hit",-J27,""))</f>
        <v/>
      </c>
      <c r="N27" s="29">
        <f>IF(M27="","",SUM($M$2:M27))</f>
        <v/>
      </c>
      <c r="O27" s="25" t="n"/>
    </row>
    <row r="28">
      <c r="A28" s="24" t="n"/>
      <c r="B28" s="25" t="n"/>
      <c r="C28" s="25" t="n"/>
      <c r="D28" s="25" t="n"/>
      <c r="E28" s="26" t="n"/>
      <c r="F28" s="27" t="n"/>
      <c r="G28" s="27" t="n"/>
      <c r="H28" s="27" t="n"/>
      <c r="I28" s="27" t="n"/>
      <c r="J28" s="28" t="n"/>
      <c r="K28" s="27" t="n"/>
      <c r="L28" s="28">
        <f>IF(OR(I28="",J28=""),"",IF(I28&gt;0,J28*(I28/100),J28*(100/(-I28))))</f>
        <v/>
      </c>
      <c r="M28" s="29">
        <f>IF(K28="Hit",L28,IF(K28="No Hit",-J28,""))</f>
        <v/>
      </c>
      <c r="N28" s="29">
        <f>IF(M28="","",SUM($M$2:M28))</f>
        <v/>
      </c>
      <c r="O28" s="25" t="n"/>
    </row>
    <row r="29">
      <c r="A29" s="24" t="n"/>
      <c r="B29" s="25" t="n"/>
      <c r="C29" s="25" t="n"/>
      <c r="D29" s="25" t="n"/>
      <c r="E29" s="26" t="n"/>
      <c r="F29" s="27" t="n"/>
      <c r="G29" s="27" t="n"/>
      <c r="H29" s="27" t="n"/>
      <c r="I29" s="27" t="n"/>
      <c r="J29" s="28" t="n"/>
      <c r="K29" s="27" t="n"/>
      <c r="L29" s="28">
        <f>IF(OR(I29="",J29=""),"",IF(I29&gt;0,J29*(I29/100),J29*(100/(-I29))))</f>
        <v/>
      </c>
      <c r="M29" s="29">
        <f>IF(K29="Hit",L29,IF(K29="No Hit",-J29,""))</f>
        <v/>
      </c>
      <c r="N29" s="29">
        <f>IF(M29="","",SUM($M$2:M29))</f>
        <v/>
      </c>
      <c r="O29" s="25" t="n"/>
    </row>
    <row r="30">
      <c r="A30" s="24" t="n"/>
      <c r="B30" s="25" t="n"/>
      <c r="C30" s="25" t="n"/>
      <c r="D30" s="25" t="n"/>
      <c r="E30" s="26" t="n"/>
      <c r="F30" s="27" t="n"/>
      <c r="G30" s="27" t="n"/>
      <c r="H30" s="27" t="n"/>
      <c r="I30" s="27" t="n"/>
      <c r="J30" s="28" t="n"/>
      <c r="K30" s="27" t="n"/>
      <c r="L30" s="28">
        <f>IF(OR(I30="",J30=""),"",IF(I30&gt;0,J30*(I30/100),J30*(100/(-I30))))</f>
        <v/>
      </c>
      <c r="M30" s="29">
        <f>IF(K30="Hit",L30,IF(K30="No Hit",-J30,""))</f>
        <v/>
      </c>
      <c r="N30" s="29">
        <f>IF(M30="","",SUM($M$2:M30))</f>
        <v/>
      </c>
      <c r="O30" s="25" t="n"/>
    </row>
    <row r="31">
      <c r="A31" s="24" t="n"/>
      <c r="B31" s="25" t="n"/>
      <c r="C31" s="25" t="n"/>
      <c r="D31" s="25" t="n"/>
      <c r="E31" s="26" t="n"/>
      <c r="F31" s="27" t="n"/>
      <c r="G31" s="27" t="n"/>
      <c r="H31" s="27" t="n"/>
      <c r="I31" s="27" t="n"/>
      <c r="J31" s="28" t="n"/>
      <c r="K31" s="27" t="n"/>
      <c r="L31" s="28">
        <f>IF(OR(I31="",J31=""),"",IF(I31&gt;0,J31*(I31/100),J31*(100/(-I31))))</f>
        <v/>
      </c>
      <c r="M31" s="29">
        <f>IF(K31="Hit",L31,IF(K31="No Hit",-J31,""))</f>
        <v/>
      </c>
      <c r="N31" s="29">
        <f>IF(M31="","",SUM($M$2:M31))</f>
        <v/>
      </c>
      <c r="O31" s="25" t="n"/>
    </row>
    <row r="32">
      <c r="A32" s="24" t="n"/>
      <c r="B32" s="25" t="n"/>
      <c r="C32" s="25" t="n"/>
      <c r="D32" s="25" t="n"/>
      <c r="E32" s="26" t="n"/>
      <c r="F32" s="27" t="n"/>
      <c r="G32" s="27" t="n"/>
      <c r="H32" s="27" t="n"/>
      <c r="I32" s="27" t="n"/>
      <c r="J32" s="28" t="n"/>
      <c r="K32" s="27" t="n"/>
      <c r="L32" s="28">
        <f>IF(OR(I32="",J32=""),"",IF(I32&gt;0,J32*(I32/100),J32*(100/(-I32))))</f>
        <v/>
      </c>
      <c r="M32" s="29">
        <f>IF(K32="Hit",L32,IF(K32="No Hit",-J32,""))</f>
        <v/>
      </c>
      <c r="N32" s="29">
        <f>IF(M32="","",SUM($M$2:M32))</f>
        <v/>
      </c>
      <c r="O32" s="25" t="n"/>
    </row>
    <row r="33">
      <c r="A33" s="24" t="n"/>
      <c r="B33" s="25" t="n"/>
      <c r="C33" s="25" t="n"/>
      <c r="D33" s="25" t="n"/>
      <c r="E33" s="26" t="n"/>
      <c r="F33" s="27" t="n"/>
      <c r="G33" s="27" t="n"/>
      <c r="H33" s="27" t="n"/>
      <c r="I33" s="27" t="n"/>
      <c r="J33" s="28" t="n"/>
      <c r="K33" s="27" t="n"/>
      <c r="L33" s="28">
        <f>IF(OR(I33="",J33=""),"",IF(I33&gt;0,J33*(I33/100),J33*(100/(-I33))))</f>
        <v/>
      </c>
      <c r="M33" s="29">
        <f>IF(K33="Hit",L33,IF(K33="No Hit",-J33,""))</f>
        <v/>
      </c>
      <c r="N33" s="29">
        <f>IF(M33="","",SUM($M$2:M33))</f>
        <v/>
      </c>
      <c r="O33" s="25" t="n"/>
    </row>
    <row r="34">
      <c r="A34" s="24" t="n"/>
      <c r="B34" s="25" t="n"/>
      <c r="C34" s="25" t="n"/>
      <c r="D34" s="25" t="n"/>
      <c r="E34" s="26" t="n"/>
      <c r="F34" s="27" t="n"/>
      <c r="G34" s="27" t="n"/>
      <c r="H34" s="27" t="n"/>
      <c r="I34" s="27" t="n"/>
      <c r="J34" s="28" t="n"/>
      <c r="K34" s="27" t="n"/>
      <c r="L34" s="28">
        <f>IF(OR(I34="",J34=""),"",IF(I34&gt;0,J34*(I34/100),J34*(100/(-I34))))</f>
        <v/>
      </c>
      <c r="M34" s="29">
        <f>IF(K34="Hit",L34,IF(K34="No Hit",-J34,""))</f>
        <v/>
      </c>
      <c r="N34" s="29">
        <f>IF(M34="","",SUM($M$2:M34))</f>
        <v/>
      </c>
      <c r="O34" s="25" t="n"/>
    </row>
    <row r="35">
      <c r="A35" s="24" t="n"/>
      <c r="B35" s="25" t="n"/>
      <c r="C35" s="25" t="n"/>
      <c r="D35" s="25" t="n"/>
      <c r="E35" s="26" t="n"/>
      <c r="F35" s="27" t="n"/>
      <c r="G35" s="27" t="n"/>
      <c r="H35" s="27" t="n"/>
      <c r="I35" s="27" t="n"/>
      <c r="J35" s="28" t="n"/>
      <c r="K35" s="27" t="n"/>
      <c r="L35" s="28">
        <f>IF(OR(I35="",J35=""),"",IF(I35&gt;0,J35*(I35/100),J35*(100/(-I35))))</f>
        <v/>
      </c>
      <c r="M35" s="29">
        <f>IF(K35="Hit",L35,IF(K35="No Hit",-J35,""))</f>
        <v/>
      </c>
      <c r="N35" s="29">
        <f>IF(M35="","",SUM($M$2:M35))</f>
        <v/>
      </c>
      <c r="O35" s="25" t="n"/>
    </row>
    <row r="36">
      <c r="A36" s="24" t="n"/>
      <c r="B36" s="25" t="n"/>
      <c r="C36" s="25" t="n"/>
      <c r="D36" s="25" t="n"/>
      <c r="E36" s="26" t="n"/>
      <c r="F36" s="27" t="n"/>
      <c r="G36" s="27" t="n"/>
      <c r="H36" s="27" t="n"/>
      <c r="I36" s="27" t="n"/>
      <c r="J36" s="28" t="n"/>
      <c r="K36" s="27" t="n"/>
      <c r="L36" s="28">
        <f>IF(OR(I36="",J36=""),"",IF(I36&gt;0,J36*(I36/100),J36*(100/(-I36))))</f>
        <v/>
      </c>
      <c r="M36" s="29">
        <f>IF(K36="Hit",L36,IF(K36="No Hit",-J36,""))</f>
        <v/>
      </c>
      <c r="N36" s="29">
        <f>IF(M36="","",SUM($M$2:M36))</f>
        <v/>
      </c>
      <c r="O36" s="25" t="n"/>
    </row>
    <row r="37">
      <c r="A37" s="24" t="n"/>
      <c r="B37" s="25" t="n"/>
      <c r="C37" s="25" t="n"/>
      <c r="D37" s="25" t="n"/>
      <c r="E37" s="26" t="n"/>
      <c r="F37" s="27" t="n"/>
      <c r="G37" s="27" t="n"/>
      <c r="H37" s="27" t="n"/>
      <c r="I37" s="27" t="n"/>
      <c r="J37" s="28" t="n"/>
      <c r="K37" s="27" t="n"/>
      <c r="L37" s="28">
        <f>IF(OR(I37="",J37=""),"",IF(I37&gt;0,J37*(I37/100),J37*(100/(-I37))))</f>
        <v/>
      </c>
      <c r="M37" s="29">
        <f>IF(K37="Hit",L37,IF(K37="No Hit",-J37,""))</f>
        <v/>
      </c>
      <c r="N37" s="29">
        <f>IF(M37="","",SUM($M$2:M37))</f>
        <v/>
      </c>
      <c r="O37" s="25" t="n"/>
    </row>
    <row r="38">
      <c r="A38" s="24" t="n"/>
      <c r="B38" s="25" t="n"/>
      <c r="C38" s="25" t="n"/>
      <c r="D38" s="25" t="n"/>
      <c r="E38" s="26" t="n"/>
      <c r="F38" s="27" t="n"/>
      <c r="G38" s="27" t="n"/>
      <c r="H38" s="27" t="n"/>
      <c r="I38" s="27" t="n"/>
      <c r="J38" s="28" t="n"/>
      <c r="K38" s="27" t="n"/>
      <c r="L38" s="28">
        <f>IF(OR(I38="",J38=""),"",IF(I38&gt;0,J38*(I38/100),J38*(100/(-I38))))</f>
        <v/>
      </c>
      <c r="M38" s="29">
        <f>IF(K38="Hit",L38,IF(K38="No Hit",-J38,""))</f>
        <v/>
      </c>
      <c r="N38" s="29">
        <f>IF(M38="","",SUM($M$2:M38))</f>
        <v/>
      </c>
      <c r="O38" s="25" t="n"/>
    </row>
    <row r="39">
      <c r="A39" s="24" t="n"/>
      <c r="B39" s="25" t="n"/>
      <c r="C39" s="25" t="n"/>
      <c r="D39" s="25" t="n"/>
      <c r="E39" s="26" t="n"/>
      <c r="F39" s="27" t="n"/>
      <c r="G39" s="27" t="n"/>
      <c r="H39" s="27" t="n"/>
      <c r="I39" s="27" t="n"/>
      <c r="J39" s="28" t="n"/>
      <c r="K39" s="27" t="n"/>
      <c r="L39" s="28">
        <f>IF(OR(I39="",J39=""),"",IF(I39&gt;0,J39*(I39/100),J39*(100/(-I39))))</f>
        <v/>
      </c>
      <c r="M39" s="29">
        <f>IF(K39="Hit",L39,IF(K39="No Hit",-J39,""))</f>
        <v/>
      </c>
      <c r="N39" s="29">
        <f>IF(M39="","",SUM($M$2:M39))</f>
        <v/>
      </c>
      <c r="O39" s="25" t="n"/>
    </row>
    <row r="40">
      <c r="A40" s="24" t="n"/>
      <c r="B40" s="25" t="n"/>
      <c r="C40" s="25" t="n"/>
      <c r="D40" s="25" t="n"/>
      <c r="E40" s="26" t="n"/>
      <c r="F40" s="27" t="n"/>
      <c r="G40" s="27" t="n"/>
      <c r="H40" s="27" t="n"/>
      <c r="I40" s="27" t="n"/>
      <c r="J40" s="28" t="n"/>
      <c r="K40" s="27" t="n"/>
      <c r="L40" s="28">
        <f>IF(OR(I40="",J40=""),"",IF(I40&gt;0,J40*(I40/100),J40*(100/(-I40))))</f>
        <v/>
      </c>
      <c r="M40" s="29">
        <f>IF(K40="Hit",L40,IF(K40="No Hit",-J40,""))</f>
        <v/>
      </c>
      <c r="N40" s="29">
        <f>IF(M40="","",SUM($M$2:M40))</f>
        <v/>
      </c>
      <c r="O40" s="25" t="n"/>
    </row>
    <row r="41">
      <c r="A41" s="24" t="n"/>
      <c r="B41" s="25" t="n"/>
      <c r="C41" s="25" t="n"/>
      <c r="D41" s="25" t="n"/>
      <c r="E41" s="26" t="n"/>
      <c r="F41" s="27" t="n"/>
      <c r="G41" s="27" t="n"/>
      <c r="H41" s="27" t="n"/>
      <c r="I41" s="27" t="n"/>
      <c r="J41" s="28" t="n"/>
      <c r="K41" s="27" t="n"/>
      <c r="L41" s="28">
        <f>IF(OR(I41="",J41=""),"",IF(I41&gt;0,J41*(I41/100),J41*(100/(-I41))))</f>
        <v/>
      </c>
      <c r="M41" s="29">
        <f>IF(K41="Hit",L41,IF(K41="No Hit",-J41,""))</f>
        <v/>
      </c>
      <c r="N41" s="29">
        <f>IF(M41="","",SUM($M$2:M41))</f>
        <v/>
      </c>
      <c r="O41" s="25" t="n"/>
    </row>
    <row r="42">
      <c r="A42" s="24" t="n"/>
      <c r="B42" s="25" t="n"/>
      <c r="C42" s="25" t="n"/>
      <c r="D42" s="25" t="n"/>
      <c r="E42" s="26" t="n"/>
      <c r="F42" s="27" t="n"/>
      <c r="G42" s="27" t="n"/>
      <c r="H42" s="27" t="n"/>
      <c r="I42" s="27" t="n"/>
      <c r="J42" s="28" t="n"/>
      <c r="K42" s="27" t="n"/>
      <c r="L42" s="28">
        <f>IF(OR(I42="",J42=""),"",IF(I42&gt;0,J42*(I42/100),J42*(100/(-I42))))</f>
        <v/>
      </c>
      <c r="M42" s="29">
        <f>IF(K42="Hit",L42,IF(K42="No Hit",-J42,""))</f>
        <v/>
      </c>
      <c r="N42" s="29">
        <f>IF(M42="","",SUM($M$2:M42))</f>
        <v/>
      </c>
      <c r="O42" s="25" t="n"/>
    </row>
    <row r="43">
      <c r="A43" s="24" t="n"/>
      <c r="B43" s="25" t="n"/>
      <c r="C43" s="25" t="n"/>
      <c r="D43" s="25" t="n"/>
      <c r="E43" s="26" t="n"/>
      <c r="F43" s="27" t="n"/>
      <c r="G43" s="27" t="n"/>
      <c r="H43" s="27" t="n"/>
      <c r="I43" s="27" t="n"/>
      <c r="J43" s="28" t="n"/>
      <c r="K43" s="27" t="n"/>
      <c r="L43" s="28">
        <f>IF(OR(I43="",J43=""),"",IF(I43&gt;0,J43*(I43/100),J43*(100/(-I43))))</f>
        <v/>
      </c>
      <c r="M43" s="29">
        <f>IF(K43="Hit",L43,IF(K43="No Hit",-J43,""))</f>
        <v/>
      </c>
      <c r="N43" s="29">
        <f>IF(M43="","",SUM($M$2:M43))</f>
        <v/>
      </c>
      <c r="O43" s="25" t="n"/>
    </row>
    <row r="44">
      <c r="A44" s="24" t="n"/>
      <c r="B44" s="25" t="n"/>
      <c r="C44" s="25" t="n"/>
      <c r="D44" s="25" t="n"/>
      <c r="E44" s="26" t="n"/>
      <c r="F44" s="27" t="n"/>
      <c r="G44" s="27" t="n"/>
      <c r="H44" s="27" t="n"/>
      <c r="I44" s="27" t="n"/>
      <c r="J44" s="28" t="n"/>
      <c r="K44" s="27" t="n"/>
      <c r="L44" s="28">
        <f>IF(OR(I44="",J44=""),"",IF(I44&gt;0,J44*(I44/100),J44*(100/(-I44))))</f>
        <v/>
      </c>
      <c r="M44" s="29">
        <f>IF(K44="Hit",L44,IF(K44="No Hit",-J44,""))</f>
        <v/>
      </c>
      <c r="N44" s="29">
        <f>IF(M44="","",SUM($M$2:M44))</f>
        <v/>
      </c>
      <c r="O44" s="25" t="n"/>
    </row>
    <row r="45">
      <c r="A45" s="24" t="n"/>
      <c r="B45" s="25" t="n"/>
      <c r="C45" s="25" t="n"/>
      <c r="D45" s="25" t="n"/>
      <c r="E45" s="26" t="n"/>
      <c r="F45" s="27" t="n"/>
      <c r="G45" s="27" t="n"/>
      <c r="H45" s="27" t="n"/>
      <c r="I45" s="27" t="n"/>
      <c r="J45" s="28" t="n"/>
      <c r="K45" s="27" t="n"/>
      <c r="L45" s="28">
        <f>IF(OR(I45="",J45=""),"",IF(I45&gt;0,J45*(I45/100),J45*(100/(-I45))))</f>
        <v/>
      </c>
      <c r="M45" s="29">
        <f>IF(K45="Hit",L45,IF(K45="No Hit",-J45,""))</f>
        <v/>
      </c>
      <c r="N45" s="29">
        <f>IF(M45="","",SUM($M$2:M45))</f>
        <v/>
      </c>
      <c r="O45" s="25" t="n"/>
    </row>
    <row r="46">
      <c r="A46" s="24" t="n"/>
      <c r="B46" s="25" t="n"/>
      <c r="C46" s="25" t="n"/>
      <c r="D46" s="25" t="n"/>
      <c r="E46" s="26" t="n"/>
      <c r="F46" s="27" t="n"/>
      <c r="G46" s="27" t="n"/>
      <c r="H46" s="27" t="n"/>
      <c r="I46" s="27" t="n"/>
      <c r="J46" s="28" t="n"/>
      <c r="K46" s="27" t="n"/>
      <c r="L46" s="28">
        <f>IF(OR(I46="",J46=""),"",IF(I46&gt;0,J46*(I46/100),J46*(100/(-I46))))</f>
        <v/>
      </c>
      <c r="M46" s="29">
        <f>IF(K46="Hit",L46,IF(K46="No Hit",-J46,""))</f>
        <v/>
      </c>
      <c r="N46" s="29">
        <f>IF(M46="","",SUM($M$2:M46))</f>
        <v/>
      </c>
      <c r="O46" s="25" t="n"/>
    </row>
    <row r="47">
      <c r="A47" s="24" t="n"/>
      <c r="B47" s="25" t="n"/>
      <c r="C47" s="25" t="n"/>
      <c r="D47" s="25" t="n"/>
      <c r="E47" s="26" t="n"/>
      <c r="F47" s="27" t="n"/>
      <c r="G47" s="27" t="n"/>
      <c r="H47" s="27" t="n"/>
      <c r="I47" s="27" t="n"/>
      <c r="J47" s="28" t="n"/>
      <c r="K47" s="27" t="n"/>
      <c r="L47" s="28">
        <f>IF(OR(I47="",J47=""),"",IF(I47&gt;0,J47*(I47/100),J47*(100/(-I47))))</f>
        <v/>
      </c>
      <c r="M47" s="29">
        <f>IF(K47="Hit",L47,IF(K47="No Hit",-J47,""))</f>
        <v/>
      </c>
      <c r="N47" s="29">
        <f>IF(M47="","",SUM($M$2:M47))</f>
        <v/>
      </c>
      <c r="O47" s="25" t="n"/>
    </row>
    <row r="48">
      <c r="A48" s="24" t="n"/>
      <c r="B48" s="25" t="n"/>
      <c r="C48" s="25" t="n"/>
      <c r="D48" s="25" t="n"/>
      <c r="E48" s="26" t="n"/>
      <c r="F48" s="27" t="n"/>
      <c r="G48" s="27" t="n"/>
      <c r="H48" s="27" t="n"/>
      <c r="I48" s="27" t="n"/>
      <c r="J48" s="28" t="n"/>
      <c r="K48" s="27" t="n"/>
      <c r="L48" s="28">
        <f>IF(OR(I48="",J48=""),"",IF(I48&gt;0,J48*(I48/100),J48*(100/(-I48))))</f>
        <v/>
      </c>
      <c r="M48" s="29">
        <f>IF(K48="Hit",L48,IF(K48="No Hit",-J48,""))</f>
        <v/>
      </c>
      <c r="N48" s="29">
        <f>IF(M48="","",SUM($M$2:M48))</f>
        <v/>
      </c>
      <c r="O48" s="25" t="n"/>
    </row>
    <row r="49">
      <c r="A49" s="24" t="n"/>
      <c r="B49" s="25" t="n"/>
      <c r="C49" s="25" t="n"/>
      <c r="D49" s="25" t="n"/>
      <c r="E49" s="26" t="n"/>
      <c r="F49" s="27" t="n"/>
      <c r="G49" s="27" t="n"/>
      <c r="H49" s="27" t="n"/>
      <c r="I49" s="27" t="n"/>
      <c r="J49" s="28" t="n"/>
      <c r="K49" s="27" t="n"/>
      <c r="L49" s="28">
        <f>IF(OR(I49="",J49=""),"",IF(I49&gt;0,J49*(I49/100),J49*(100/(-I49))))</f>
        <v/>
      </c>
      <c r="M49" s="29">
        <f>IF(K49="Hit",L49,IF(K49="No Hit",-J49,""))</f>
        <v/>
      </c>
      <c r="N49" s="29">
        <f>IF(M49="","",SUM($M$2:M49))</f>
        <v/>
      </c>
      <c r="O49" s="25" t="n"/>
    </row>
    <row r="50">
      <c r="A50" s="24" t="n"/>
      <c r="B50" s="25" t="n"/>
      <c r="C50" s="25" t="n"/>
      <c r="D50" s="25" t="n"/>
      <c r="E50" s="26" t="n"/>
      <c r="F50" s="27" t="n"/>
      <c r="G50" s="27" t="n"/>
      <c r="H50" s="27" t="n"/>
      <c r="I50" s="27" t="n"/>
      <c r="J50" s="28" t="n"/>
      <c r="K50" s="27" t="n"/>
      <c r="L50" s="28">
        <f>IF(OR(I50="",J50=""),"",IF(I50&gt;0,J50*(I50/100),J50*(100/(-I50))))</f>
        <v/>
      </c>
      <c r="M50" s="29">
        <f>IF(K50="Hit",L50,IF(K50="No Hit",-J50,""))</f>
        <v/>
      </c>
      <c r="N50" s="29">
        <f>IF(M50="","",SUM($M$2:M50))</f>
        <v/>
      </c>
      <c r="O50" s="25" t="n"/>
    </row>
    <row r="51">
      <c r="A51" s="24" t="n"/>
      <c r="B51" s="25" t="n"/>
      <c r="C51" s="25" t="n"/>
      <c r="D51" s="25" t="n"/>
      <c r="E51" s="26" t="n"/>
      <c r="F51" s="27" t="n"/>
      <c r="G51" s="27" t="n"/>
      <c r="H51" s="27" t="n"/>
      <c r="I51" s="27" t="n"/>
      <c r="J51" s="28" t="n"/>
      <c r="K51" s="27" t="n"/>
      <c r="L51" s="28">
        <f>IF(OR(I51="",J51=""),"",IF(I51&gt;0,J51*(I51/100),J51*(100/(-I51))))</f>
        <v/>
      </c>
      <c r="M51" s="29">
        <f>IF(K51="Hit",L51,IF(K51="No Hit",-J51,""))</f>
        <v/>
      </c>
      <c r="N51" s="29">
        <f>IF(M51="","",SUM($M$2:M51))</f>
        <v/>
      </c>
      <c r="O51" s="25" t="n"/>
    </row>
    <row r="52">
      <c r="A52" s="24" t="n"/>
      <c r="B52" s="25" t="n"/>
      <c r="C52" s="25" t="n"/>
      <c r="D52" s="25" t="n"/>
      <c r="E52" s="26" t="n"/>
      <c r="F52" s="27" t="n"/>
      <c r="G52" s="27" t="n"/>
      <c r="H52" s="27" t="n"/>
      <c r="I52" s="27" t="n"/>
      <c r="J52" s="28" t="n"/>
      <c r="K52" s="27" t="n"/>
      <c r="L52" s="28">
        <f>IF(OR(I52="",J52=""),"",IF(I52&gt;0,J52*(I52/100),J52*(100/(-I52))))</f>
        <v/>
      </c>
      <c r="M52" s="29">
        <f>IF(K52="Hit",L52,IF(K52="No Hit",-J52,""))</f>
        <v/>
      </c>
      <c r="N52" s="29">
        <f>IF(M52="","",SUM($M$2:M52))</f>
        <v/>
      </c>
      <c r="O52" s="25" t="n"/>
    </row>
    <row r="53">
      <c r="A53" s="24" t="n"/>
      <c r="B53" s="25" t="n"/>
      <c r="C53" s="25" t="n"/>
      <c r="D53" s="25" t="n"/>
      <c r="E53" s="26" t="n"/>
      <c r="F53" s="27" t="n"/>
      <c r="G53" s="27" t="n"/>
      <c r="H53" s="27" t="n"/>
      <c r="I53" s="27" t="n"/>
      <c r="J53" s="28" t="n"/>
      <c r="K53" s="27" t="n"/>
      <c r="L53" s="28">
        <f>IF(OR(I53="",J53=""),"",IF(I53&gt;0,J53*(I53/100),J53*(100/(-I53))))</f>
        <v/>
      </c>
      <c r="M53" s="29">
        <f>IF(K53="Hit",L53,IF(K53="No Hit",-J53,""))</f>
        <v/>
      </c>
      <c r="N53" s="29">
        <f>IF(M53="","",SUM($M$2:M53))</f>
        <v/>
      </c>
      <c r="O53" s="25" t="n"/>
    </row>
    <row r="54">
      <c r="A54" s="24" t="n"/>
      <c r="B54" s="25" t="n"/>
      <c r="C54" s="25" t="n"/>
      <c r="D54" s="25" t="n"/>
      <c r="E54" s="26" t="n"/>
      <c r="F54" s="27" t="n"/>
      <c r="G54" s="27" t="n"/>
      <c r="H54" s="27" t="n"/>
      <c r="I54" s="27" t="n"/>
      <c r="J54" s="28" t="n"/>
      <c r="K54" s="27" t="n"/>
      <c r="L54" s="28">
        <f>IF(OR(I54="",J54=""),"",IF(I54&gt;0,J54*(I54/100),J54*(100/(-I54))))</f>
        <v/>
      </c>
      <c r="M54" s="29">
        <f>IF(K54="Hit",L54,IF(K54="No Hit",-J54,""))</f>
        <v/>
      </c>
      <c r="N54" s="29">
        <f>IF(M54="","",SUM($M$2:M54))</f>
        <v/>
      </c>
      <c r="O54" s="25" t="n"/>
    </row>
    <row r="55">
      <c r="A55" s="24" t="n"/>
      <c r="B55" s="25" t="n"/>
      <c r="C55" s="25" t="n"/>
      <c r="D55" s="25" t="n"/>
      <c r="E55" s="26" t="n"/>
      <c r="F55" s="27" t="n"/>
      <c r="G55" s="27" t="n"/>
      <c r="H55" s="27" t="n"/>
      <c r="I55" s="27" t="n"/>
      <c r="J55" s="28" t="n"/>
      <c r="K55" s="27" t="n"/>
      <c r="L55" s="28">
        <f>IF(OR(I55="",J55=""),"",IF(I55&gt;0,J55*(I55/100),J55*(100/(-I55))))</f>
        <v/>
      </c>
      <c r="M55" s="29">
        <f>IF(K55="Hit",L55,IF(K55="No Hit",-J55,""))</f>
        <v/>
      </c>
      <c r="N55" s="29">
        <f>IF(M55="","",SUM($M$2:M55))</f>
        <v/>
      </c>
      <c r="O55" s="25" t="n"/>
    </row>
    <row r="56">
      <c r="A56" s="24" t="n"/>
      <c r="B56" s="25" t="n"/>
      <c r="C56" s="25" t="n"/>
      <c r="D56" s="25" t="n"/>
      <c r="E56" s="26" t="n"/>
      <c r="F56" s="27" t="n"/>
      <c r="G56" s="27" t="n"/>
      <c r="H56" s="27" t="n"/>
      <c r="I56" s="27" t="n"/>
      <c r="J56" s="28" t="n"/>
      <c r="K56" s="27" t="n"/>
      <c r="L56" s="28">
        <f>IF(OR(I56="",J56=""),"",IF(I56&gt;0,J56*(I56/100),J56*(100/(-I56))))</f>
        <v/>
      </c>
      <c r="M56" s="29">
        <f>IF(K56="Hit",L56,IF(K56="No Hit",-J56,""))</f>
        <v/>
      </c>
      <c r="N56" s="29">
        <f>IF(M56="","",SUM($M$2:M56))</f>
        <v/>
      </c>
      <c r="O56" s="25" t="n"/>
    </row>
    <row r="57">
      <c r="A57" s="24" t="n"/>
      <c r="B57" s="25" t="n"/>
      <c r="C57" s="25" t="n"/>
      <c r="D57" s="25" t="n"/>
      <c r="E57" s="26" t="n"/>
      <c r="F57" s="27" t="n"/>
      <c r="G57" s="27" t="n"/>
      <c r="H57" s="27" t="n"/>
      <c r="I57" s="27" t="n"/>
      <c r="J57" s="28" t="n"/>
      <c r="K57" s="27" t="n"/>
      <c r="L57" s="28">
        <f>IF(OR(I57="",J57=""),"",IF(I57&gt;0,J57*(I57/100),J57*(100/(-I57))))</f>
        <v/>
      </c>
      <c r="M57" s="29">
        <f>IF(K57="Hit",L57,IF(K57="No Hit",-J57,""))</f>
        <v/>
      </c>
      <c r="N57" s="29">
        <f>IF(M57="","",SUM($M$2:M57))</f>
        <v/>
      </c>
      <c r="O57" s="25" t="n"/>
    </row>
    <row r="58">
      <c r="A58" s="24" t="n"/>
      <c r="B58" s="25" t="n"/>
      <c r="C58" s="25" t="n"/>
      <c r="D58" s="25" t="n"/>
      <c r="E58" s="26" t="n"/>
      <c r="F58" s="27" t="n"/>
      <c r="G58" s="27" t="n"/>
      <c r="H58" s="27" t="n"/>
      <c r="I58" s="27" t="n"/>
      <c r="J58" s="28" t="n"/>
      <c r="K58" s="27" t="n"/>
      <c r="L58" s="28">
        <f>IF(OR(I58="",J58=""),"",IF(I58&gt;0,J58*(I58/100),J58*(100/(-I58))))</f>
        <v/>
      </c>
      <c r="M58" s="29">
        <f>IF(K58="Hit",L58,IF(K58="No Hit",-J58,""))</f>
        <v/>
      </c>
      <c r="N58" s="29">
        <f>IF(M58="","",SUM($M$2:M58))</f>
        <v/>
      </c>
      <c r="O58" s="25" t="n"/>
    </row>
    <row r="59">
      <c r="A59" s="24" t="n"/>
      <c r="B59" s="25" t="n"/>
      <c r="C59" s="25" t="n"/>
      <c r="D59" s="25" t="n"/>
      <c r="E59" s="26" t="n"/>
      <c r="F59" s="27" t="n"/>
      <c r="G59" s="27" t="n"/>
      <c r="H59" s="27" t="n"/>
      <c r="I59" s="27" t="n"/>
      <c r="J59" s="28" t="n"/>
      <c r="K59" s="27" t="n"/>
      <c r="L59" s="28">
        <f>IF(OR(I59="",J59=""),"",IF(I59&gt;0,J59*(I59/100),J59*(100/(-I59))))</f>
        <v/>
      </c>
      <c r="M59" s="29">
        <f>IF(K59="Hit",L59,IF(K59="No Hit",-J59,""))</f>
        <v/>
      </c>
      <c r="N59" s="29">
        <f>IF(M59="","",SUM($M$2:M59))</f>
        <v/>
      </c>
      <c r="O59" s="25" t="n"/>
    </row>
    <row r="60">
      <c r="A60" s="24" t="n"/>
      <c r="B60" s="25" t="n"/>
      <c r="C60" s="25" t="n"/>
      <c r="D60" s="25" t="n"/>
      <c r="E60" s="26" t="n"/>
      <c r="F60" s="27" t="n"/>
      <c r="G60" s="27" t="n"/>
      <c r="H60" s="27" t="n"/>
      <c r="I60" s="27" t="n"/>
      <c r="J60" s="28" t="n"/>
      <c r="K60" s="27" t="n"/>
      <c r="L60" s="28">
        <f>IF(OR(I60="",J60=""),"",IF(I60&gt;0,J60*(I60/100),J60*(100/(-I60))))</f>
        <v/>
      </c>
      <c r="M60" s="29">
        <f>IF(K60="Hit",L60,IF(K60="No Hit",-J60,""))</f>
        <v/>
      </c>
      <c r="N60" s="29">
        <f>IF(M60="","",SUM($M$2:M60))</f>
        <v/>
      </c>
      <c r="O60" s="25" t="n"/>
    </row>
    <row r="61">
      <c r="A61" s="24" t="n"/>
      <c r="B61" s="25" t="n"/>
      <c r="C61" s="25" t="n"/>
      <c r="D61" s="25" t="n"/>
      <c r="E61" s="26" t="n"/>
      <c r="F61" s="27" t="n"/>
      <c r="G61" s="27" t="n"/>
      <c r="H61" s="27" t="n"/>
      <c r="I61" s="27" t="n"/>
      <c r="J61" s="28" t="n"/>
      <c r="K61" s="27" t="n"/>
      <c r="L61" s="28">
        <f>IF(OR(I61="",J61=""),"",IF(I61&gt;0,J61*(I61/100),J61*(100/(-I61))))</f>
        <v/>
      </c>
      <c r="M61" s="29">
        <f>IF(K61="Hit",L61,IF(K61="No Hit",-J61,""))</f>
        <v/>
      </c>
      <c r="N61" s="29">
        <f>IF(M61="","",SUM($M$2:M61))</f>
        <v/>
      </c>
      <c r="O61" s="25" t="n"/>
    </row>
    <row r="62">
      <c r="A62" s="24" t="n"/>
      <c r="B62" s="25" t="n"/>
      <c r="C62" s="25" t="n"/>
      <c r="D62" s="25" t="n"/>
      <c r="E62" s="26" t="n"/>
      <c r="F62" s="27" t="n"/>
      <c r="G62" s="27" t="n"/>
      <c r="H62" s="27" t="n"/>
      <c r="I62" s="27" t="n"/>
      <c r="J62" s="28" t="n"/>
      <c r="K62" s="27" t="n"/>
      <c r="L62" s="28">
        <f>IF(OR(I62="",J62=""),"",IF(I62&gt;0,J62*(I62/100),J62*(100/(-I62))))</f>
        <v/>
      </c>
      <c r="M62" s="29">
        <f>IF(K62="Hit",L62,IF(K62="No Hit",-J62,""))</f>
        <v/>
      </c>
      <c r="N62" s="29">
        <f>IF(M62="","",SUM($M$2:M62))</f>
        <v/>
      </c>
      <c r="O62" s="25" t="n"/>
    </row>
    <row r="63">
      <c r="A63" s="24" t="n"/>
      <c r="B63" s="25" t="n"/>
      <c r="C63" s="25" t="n"/>
      <c r="D63" s="25" t="n"/>
      <c r="E63" s="26" t="n"/>
      <c r="F63" s="27" t="n"/>
      <c r="G63" s="27" t="n"/>
      <c r="H63" s="27" t="n"/>
      <c r="I63" s="27" t="n"/>
      <c r="J63" s="28" t="n"/>
      <c r="K63" s="27" t="n"/>
      <c r="L63" s="28">
        <f>IF(OR(I63="",J63=""),"",IF(I63&gt;0,J63*(I63/100),J63*(100/(-I63))))</f>
        <v/>
      </c>
      <c r="M63" s="29">
        <f>IF(K63="Hit",L63,IF(K63="No Hit",-J63,""))</f>
        <v/>
      </c>
      <c r="N63" s="29">
        <f>IF(M63="","",SUM($M$2:M63))</f>
        <v/>
      </c>
      <c r="O63" s="25" t="n"/>
    </row>
    <row r="64">
      <c r="A64" s="24" t="n"/>
      <c r="B64" s="25" t="n"/>
      <c r="C64" s="25" t="n"/>
      <c r="D64" s="25" t="n"/>
      <c r="E64" s="26" t="n"/>
      <c r="F64" s="27" t="n"/>
      <c r="G64" s="27" t="n"/>
      <c r="H64" s="27" t="n"/>
      <c r="I64" s="27" t="n"/>
      <c r="J64" s="28" t="n"/>
      <c r="K64" s="27" t="n"/>
      <c r="L64" s="28">
        <f>IF(OR(I64="",J64=""),"",IF(I64&gt;0,J64*(I64/100),J64*(100/(-I64))))</f>
        <v/>
      </c>
      <c r="M64" s="29">
        <f>IF(K64="Hit",L64,IF(K64="No Hit",-J64,""))</f>
        <v/>
      </c>
      <c r="N64" s="29">
        <f>IF(M64="","",SUM($M$2:M64))</f>
        <v/>
      </c>
      <c r="O64" s="25" t="n"/>
    </row>
    <row r="65">
      <c r="A65" s="24" t="n"/>
      <c r="B65" s="25" t="n"/>
      <c r="C65" s="25" t="n"/>
      <c r="D65" s="25" t="n"/>
      <c r="E65" s="26" t="n"/>
      <c r="F65" s="27" t="n"/>
      <c r="G65" s="27" t="n"/>
      <c r="H65" s="27" t="n"/>
      <c r="I65" s="27" t="n"/>
      <c r="J65" s="28" t="n"/>
      <c r="K65" s="27" t="n"/>
      <c r="L65" s="28">
        <f>IF(OR(I65="",J65=""),"",IF(I65&gt;0,J65*(I65/100),J65*(100/(-I65))))</f>
        <v/>
      </c>
      <c r="M65" s="29">
        <f>IF(K65="Hit",L65,IF(K65="No Hit",-J65,""))</f>
        <v/>
      </c>
      <c r="N65" s="29">
        <f>IF(M65="","",SUM($M$2:M65))</f>
        <v/>
      </c>
      <c r="O65" s="25" t="n"/>
    </row>
    <row r="66">
      <c r="A66" s="24" t="n"/>
      <c r="B66" s="25" t="n"/>
      <c r="C66" s="25" t="n"/>
      <c r="D66" s="25" t="n"/>
      <c r="E66" s="26" t="n"/>
      <c r="F66" s="27" t="n"/>
      <c r="G66" s="27" t="n"/>
      <c r="H66" s="27" t="n"/>
      <c r="I66" s="27" t="n"/>
      <c r="J66" s="28" t="n"/>
      <c r="K66" s="27" t="n"/>
      <c r="L66" s="28">
        <f>IF(OR(I66="",J66=""),"",IF(I66&gt;0,J66*(I66/100),J66*(100/(-I66))))</f>
        <v/>
      </c>
      <c r="M66" s="29">
        <f>IF(K66="Hit",L66,IF(K66="No Hit",-J66,""))</f>
        <v/>
      </c>
      <c r="N66" s="29">
        <f>IF(M66="","",SUM($M$2:M66))</f>
        <v/>
      </c>
      <c r="O66" s="25" t="n"/>
    </row>
    <row r="67">
      <c r="A67" s="24" t="n"/>
      <c r="B67" s="25" t="n"/>
      <c r="C67" s="25" t="n"/>
      <c r="D67" s="25" t="n"/>
      <c r="E67" s="26" t="n"/>
      <c r="F67" s="27" t="n"/>
      <c r="G67" s="27" t="n"/>
      <c r="H67" s="27" t="n"/>
      <c r="I67" s="27" t="n"/>
      <c r="J67" s="28" t="n"/>
      <c r="K67" s="27" t="n"/>
      <c r="L67" s="28">
        <f>IF(OR(I67="",J67=""),"",IF(I67&gt;0,J67*(I67/100),J67*(100/(-I67))))</f>
        <v/>
      </c>
      <c r="M67" s="29">
        <f>IF(K67="Hit",L67,IF(K67="No Hit",-J67,""))</f>
        <v/>
      </c>
      <c r="N67" s="29">
        <f>IF(M67="","",SUM($M$2:M67))</f>
        <v/>
      </c>
      <c r="O67" s="25" t="n"/>
    </row>
    <row r="68">
      <c r="A68" s="24" t="n"/>
      <c r="B68" s="25" t="n"/>
      <c r="C68" s="25" t="n"/>
      <c r="D68" s="25" t="n"/>
      <c r="E68" s="26" t="n"/>
      <c r="F68" s="27" t="n"/>
      <c r="G68" s="27" t="n"/>
      <c r="H68" s="27" t="n"/>
      <c r="I68" s="27" t="n"/>
      <c r="J68" s="28" t="n"/>
      <c r="K68" s="27" t="n"/>
      <c r="L68" s="28">
        <f>IF(OR(I68="",J68=""),"",IF(I68&gt;0,J68*(I68/100),J68*(100/(-I68))))</f>
        <v/>
      </c>
      <c r="M68" s="29">
        <f>IF(K68="Hit",L68,IF(K68="No Hit",-J68,""))</f>
        <v/>
      </c>
      <c r="N68" s="29">
        <f>IF(M68="","",SUM($M$2:M68))</f>
        <v/>
      </c>
      <c r="O68" s="25" t="n"/>
    </row>
    <row r="69">
      <c r="A69" s="24" t="n"/>
      <c r="B69" s="25" t="n"/>
      <c r="C69" s="25" t="n"/>
      <c r="D69" s="25" t="n"/>
      <c r="E69" s="26" t="n"/>
      <c r="F69" s="27" t="n"/>
      <c r="G69" s="27" t="n"/>
      <c r="H69" s="27" t="n"/>
      <c r="I69" s="27" t="n"/>
      <c r="J69" s="28" t="n"/>
      <c r="K69" s="27" t="n"/>
      <c r="L69" s="28">
        <f>IF(OR(I69="",J69=""),"",IF(I69&gt;0,J69*(I69/100),J69*(100/(-I69))))</f>
        <v/>
      </c>
      <c r="M69" s="29">
        <f>IF(K69="Hit",L69,IF(K69="No Hit",-J69,""))</f>
        <v/>
      </c>
      <c r="N69" s="29">
        <f>IF(M69="","",SUM($M$2:M69))</f>
        <v/>
      </c>
      <c r="O69" s="25" t="n"/>
    </row>
    <row r="70">
      <c r="A70" s="24" t="n"/>
      <c r="B70" s="25" t="n"/>
      <c r="C70" s="25" t="n"/>
      <c r="D70" s="25" t="n"/>
      <c r="E70" s="26" t="n"/>
      <c r="F70" s="27" t="n"/>
      <c r="G70" s="27" t="n"/>
      <c r="H70" s="27" t="n"/>
      <c r="I70" s="27" t="n"/>
      <c r="J70" s="28" t="n"/>
      <c r="K70" s="27" t="n"/>
      <c r="L70" s="28">
        <f>IF(OR(I70="",J70=""),"",IF(I70&gt;0,J70*(I70/100),J70*(100/(-I70))))</f>
        <v/>
      </c>
      <c r="M70" s="29">
        <f>IF(K70="Hit",L70,IF(K70="No Hit",-J70,""))</f>
        <v/>
      </c>
      <c r="N70" s="29">
        <f>IF(M70="","",SUM($M$2:M70))</f>
        <v/>
      </c>
      <c r="O70" s="25" t="n"/>
    </row>
    <row r="71">
      <c r="A71" s="24" t="n"/>
      <c r="B71" s="25" t="n"/>
      <c r="C71" s="25" t="n"/>
      <c r="D71" s="25" t="n"/>
      <c r="E71" s="26" t="n"/>
      <c r="F71" s="27" t="n"/>
      <c r="G71" s="27" t="n"/>
      <c r="H71" s="27" t="n"/>
      <c r="I71" s="27" t="n"/>
      <c r="J71" s="28" t="n"/>
      <c r="K71" s="27" t="n"/>
      <c r="L71" s="28">
        <f>IF(OR(I71="",J71=""),"",IF(I71&gt;0,J71*(I71/100),J71*(100/(-I71))))</f>
        <v/>
      </c>
      <c r="M71" s="29">
        <f>IF(K71="Hit",L71,IF(K71="No Hit",-J71,""))</f>
        <v/>
      </c>
      <c r="N71" s="29">
        <f>IF(M71="","",SUM($M$2:M71))</f>
        <v/>
      </c>
      <c r="O71" s="25" t="n"/>
    </row>
    <row r="72">
      <c r="A72" s="24" t="n"/>
      <c r="B72" s="25" t="n"/>
      <c r="C72" s="25" t="n"/>
      <c r="D72" s="25" t="n"/>
      <c r="E72" s="26" t="n"/>
      <c r="F72" s="27" t="n"/>
      <c r="G72" s="27" t="n"/>
      <c r="H72" s="27" t="n"/>
      <c r="I72" s="27" t="n"/>
      <c r="J72" s="28" t="n"/>
      <c r="K72" s="27" t="n"/>
      <c r="L72" s="28">
        <f>IF(OR(I72="",J72=""),"",IF(I72&gt;0,J72*(I72/100),J72*(100/(-I72))))</f>
        <v/>
      </c>
      <c r="M72" s="29">
        <f>IF(K72="Hit",L72,IF(K72="No Hit",-J72,""))</f>
        <v/>
      </c>
      <c r="N72" s="29">
        <f>IF(M72="","",SUM($M$2:M72))</f>
        <v/>
      </c>
      <c r="O72" s="25" t="n"/>
    </row>
    <row r="73">
      <c r="A73" s="24" t="n"/>
      <c r="B73" s="25" t="n"/>
      <c r="C73" s="25" t="n"/>
      <c r="D73" s="25" t="n"/>
      <c r="E73" s="26" t="n"/>
      <c r="F73" s="27" t="n"/>
      <c r="G73" s="27" t="n"/>
      <c r="H73" s="27" t="n"/>
      <c r="I73" s="27" t="n"/>
      <c r="J73" s="28" t="n"/>
      <c r="K73" s="27" t="n"/>
      <c r="L73" s="28">
        <f>IF(OR(I73="",J73=""),"",IF(I73&gt;0,J73*(I73/100),J73*(100/(-I73))))</f>
        <v/>
      </c>
      <c r="M73" s="29">
        <f>IF(K73="Hit",L73,IF(K73="No Hit",-J73,""))</f>
        <v/>
      </c>
      <c r="N73" s="29">
        <f>IF(M73="","",SUM($M$2:M73))</f>
        <v/>
      </c>
      <c r="O73" s="25" t="n"/>
    </row>
    <row r="74">
      <c r="A74" s="24" t="n"/>
      <c r="B74" s="25" t="n"/>
      <c r="C74" s="25" t="n"/>
      <c r="D74" s="25" t="n"/>
      <c r="E74" s="26" t="n"/>
      <c r="F74" s="27" t="n"/>
      <c r="G74" s="27" t="n"/>
      <c r="H74" s="27" t="n"/>
      <c r="I74" s="27" t="n"/>
      <c r="J74" s="28" t="n"/>
      <c r="K74" s="27" t="n"/>
      <c r="L74" s="28">
        <f>IF(OR(I74="",J74=""),"",IF(I74&gt;0,J74*(I74/100),J74*(100/(-I74))))</f>
        <v/>
      </c>
      <c r="M74" s="29">
        <f>IF(K74="Hit",L74,IF(K74="No Hit",-J74,""))</f>
        <v/>
      </c>
      <c r="N74" s="29">
        <f>IF(M74="","",SUM($M$2:M74))</f>
        <v/>
      </c>
      <c r="O74" s="25" t="n"/>
    </row>
    <row r="75">
      <c r="A75" s="24" t="n"/>
      <c r="B75" s="25" t="n"/>
      <c r="C75" s="25" t="n"/>
      <c r="D75" s="25" t="n"/>
      <c r="E75" s="26" t="n"/>
      <c r="F75" s="27" t="n"/>
      <c r="G75" s="27" t="n"/>
      <c r="H75" s="27" t="n"/>
      <c r="I75" s="27" t="n"/>
      <c r="J75" s="28" t="n"/>
      <c r="K75" s="27" t="n"/>
      <c r="L75" s="28">
        <f>IF(OR(I75="",J75=""),"",IF(I75&gt;0,J75*(I75/100),J75*(100/(-I75))))</f>
        <v/>
      </c>
      <c r="M75" s="29">
        <f>IF(K75="Hit",L75,IF(K75="No Hit",-J75,""))</f>
        <v/>
      </c>
      <c r="N75" s="29">
        <f>IF(M75="","",SUM($M$2:M75))</f>
        <v/>
      </c>
      <c r="O75" s="25" t="n"/>
    </row>
    <row r="76">
      <c r="A76" s="24" t="n"/>
      <c r="B76" s="25" t="n"/>
      <c r="C76" s="25" t="n"/>
      <c r="D76" s="25" t="n"/>
      <c r="E76" s="26" t="n"/>
      <c r="F76" s="27" t="n"/>
      <c r="G76" s="27" t="n"/>
      <c r="H76" s="27" t="n"/>
      <c r="I76" s="27" t="n"/>
      <c r="J76" s="28" t="n"/>
      <c r="K76" s="27" t="n"/>
      <c r="L76" s="28">
        <f>IF(OR(I76="",J76=""),"",IF(I76&gt;0,J76*(I76/100),J76*(100/(-I76))))</f>
        <v/>
      </c>
      <c r="M76" s="29">
        <f>IF(K76="Hit",L76,IF(K76="No Hit",-J76,""))</f>
        <v/>
      </c>
      <c r="N76" s="29">
        <f>IF(M76="","",SUM($M$2:M76))</f>
        <v/>
      </c>
      <c r="O76" s="25" t="n"/>
    </row>
    <row r="77">
      <c r="A77" s="24" t="n"/>
      <c r="B77" s="25" t="n"/>
      <c r="C77" s="25" t="n"/>
      <c r="D77" s="25" t="n"/>
      <c r="E77" s="26" t="n"/>
      <c r="F77" s="27" t="n"/>
      <c r="G77" s="27" t="n"/>
      <c r="H77" s="27" t="n"/>
      <c r="I77" s="27" t="n"/>
      <c r="J77" s="28" t="n"/>
      <c r="K77" s="27" t="n"/>
      <c r="L77" s="28">
        <f>IF(OR(I77="",J77=""),"",IF(I77&gt;0,J77*(I77/100),J77*(100/(-I77))))</f>
        <v/>
      </c>
      <c r="M77" s="29">
        <f>IF(K77="Hit",L77,IF(K77="No Hit",-J77,""))</f>
        <v/>
      </c>
      <c r="N77" s="29">
        <f>IF(M77="","",SUM($M$2:M77))</f>
        <v/>
      </c>
      <c r="O77" s="25" t="n"/>
    </row>
    <row r="78">
      <c r="A78" s="24" t="n"/>
      <c r="B78" s="25" t="n"/>
      <c r="C78" s="25" t="n"/>
      <c r="D78" s="25" t="n"/>
      <c r="E78" s="26" t="n"/>
      <c r="F78" s="27" t="n"/>
      <c r="G78" s="27" t="n"/>
      <c r="H78" s="27" t="n"/>
      <c r="I78" s="27" t="n"/>
      <c r="J78" s="28" t="n"/>
      <c r="K78" s="27" t="n"/>
      <c r="L78" s="28">
        <f>IF(OR(I78="",J78=""),"",IF(I78&gt;0,J78*(I78/100),J78*(100/(-I78))))</f>
        <v/>
      </c>
      <c r="M78" s="29">
        <f>IF(K78="Hit",L78,IF(K78="No Hit",-J78,""))</f>
        <v/>
      </c>
      <c r="N78" s="29">
        <f>IF(M78="","",SUM($M$2:M78))</f>
        <v/>
      </c>
      <c r="O78" s="25" t="n"/>
    </row>
    <row r="79">
      <c r="A79" s="24" t="n"/>
      <c r="B79" s="25" t="n"/>
      <c r="C79" s="25" t="n"/>
      <c r="D79" s="25" t="n"/>
      <c r="E79" s="26" t="n"/>
      <c r="F79" s="27" t="n"/>
      <c r="G79" s="27" t="n"/>
      <c r="H79" s="27" t="n"/>
      <c r="I79" s="27" t="n"/>
      <c r="J79" s="28" t="n"/>
      <c r="K79" s="27" t="n"/>
      <c r="L79" s="28">
        <f>IF(OR(I79="",J79=""),"",IF(I79&gt;0,J79*(I79/100),J79*(100/(-I79))))</f>
        <v/>
      </c>
      <c r="M79" s="29">
        <f>IF(K79="Hit",L79,IF(K79="No Hit",-J79,""))</f>
        <v/>
      </c>
      <c r="N79" s="29">
        <f>IF(M79="","",SUM($M$2:M79))</f>
        <v/>
      </c>
      <c r="O79" s="25" t="n"/>
    </row>
    <row r="80">
      <c r="A80" s="24" t="n"/>
      <c r="B80" s="25" t="n"/>
      <c r="C80" s="25" t="n"/>
      <c r="D80" s="25" t="n"/>
      <c r="E80" s="26" t="n"/>
      <c r="F80" s="27" t="n"/>
      <c r="G80" s="27" t="n"/>
      <c r="H80" s="27" t="n"/>
      <c r="I80" s="27" t="n"/>
      <c r="J80" s="28" t="n"/>
      <c r="K80" s="27" t="n"/>
      <c r="L80" s="28">
        <f>IF(OR(I80="",J80=""),"",IF(I80&gt;0,J80*(I80/100),J80*(100/(-I80))))</f>
        <v/>
      </c>
      <c r="M80" s="29">
        <f>IF(K80="Hit",L80,IF(K80="No Hit",-J80,""))</f>
        <v/>
      </c>
      <c r="N80" s="29">
        <f>IF(M80="","",SUM($M$2:M80))</f>
        <v/>
      </c>
      <c r="O80" s="25" t="n"/>
    </row>
    <row r="81">
      <c r="A81" s="24" t="n"/>
      <c r="B81" s="25" t="n"/>
      <c r="C81" s="25" t="n"/>
      <c r="D81" s="25" t="n"/>
      <c r="E81" s="26" t="n"/>
      <c r="F81" s="27" t="n"/>
      <c r="G81" s="27" t="n"/>
      <c r="H81" s="27" t="n"/>
      <c r="I81" s="27" t="n"/>
      <c r="J81" s="28" t="n"/>
      <c r="K81" s="27" t="n"/>
      <c r="L81" s="28">
        <f>IF(OR(I81="",J81=""),"",IF(I81&gt;0,J81*(I81/100),J81*(100/(-I81))))</f>
        <v/>
      </c>
      <c r="M81" s="29">
        <f>IF(K81="Hit",L81,IF(K81="No Hit",-J81,""))</f>
        <v/>
      </c>
      <c r="N81" s="29">
        <f>IF(M81="","",SUM($M$2:M81))</f>
        <v/>
      </c>
      <c r="O81" s="25" t="n"/>
    </row>
    <row r="82">
      <c r="A82" s="24" t="n"/>
      <c r="B82" s="25" t="n"/>
      <c r="C82" s="25" t="n"/>
      <c r="D82" s="25" t="n"/>
      <c r="E82" s="26" t="n"/>
      <c r="F82" s="27" t="n"/>
      <c r="G82" s="27" t="n"/>
      <c r="H82" s="27" t="n"/>
      <c r="I82" s="27" t="n"/>
      <c r="J82" s="28" t="n"/>
      <c r="K82" s="27" t="n"/>
      <c r="L82" s="28">
        <f>IF(OR(I82="",J82=""),"",IF(I82&gt;0,J82*(I82/100),J82*(100/(-I82))))</f>
        <v/>
      </c>
      <c r="M82" s="29">
        <f>IF(K82="Hit",L82,IF(K82="No Hit",-J82,""))</f>
        <v/>
      </c>
      <c r="N82" s="29">
        <f>IF(M82="","",SUM($M$2:M82))</f>
        <v/>
      </c>
      <c r="O82" s="25" t="n"/>
    </row>
    <row r="83">
      <c r="A83" s="24" t="n"/>
      <c r="B83" s="25" t="n"/>
      <c r="C83" s="25" t="n"/>
      <c r="D83" s="25" t="n"/>
      <c r="E83" s="26" t="n"/>
      <c r="F83" s="27" t="n"/>
      <c r="G83" s="27" t="n"/>
      <c r="H83" s="27" t="n"/>
      <c r="I83" s="27" t="n"/>
      <c r="J83" s="28" t="n"/>
      <c r="K83" s="27" t="n"/>
      <c r="L83" s="28">
        <f>IF(OR(I83="",J83=""),"",IF(I83&gt;0,J83*(I83/100),J83*(100/(-I83))))</f>
        <v/>
      </c>
      <c r="M83" s="29">
        <f>IF(K83="Hit",L83,IF(K83="No Hit",-J83,""))</f>
        <v/>
      </c>
      <c r="N83" s="29">
        <f>IF(M83="","",SUM($M$2:M83))</f>
        <v/>
      </c>
      <c r="O83" s="25" t="n"/>
    </row>
    <row r="84">
      <c r="A84" s="24" t="n"/>
      <c r="B84" s="25" t="n"/>
      <c r="C84" s="25" t="n"/>
      <c r="D84" s="25" t="n"/>
      <c r="E84" s="26" t="n"/>
      <c r="F84" s="27" t="n"/>
      <c r="G84" s="27" t="n"/>
      <c r="H84" s="27" t="n"/>
      <c r="I84" s="27" t="n"/>
      <c r="J84" s="28" t="n"/>
      <c r="K84" s="27" t="n"/>
      <c r="L84" s="28">
        <f>IF(OR(I84="",J84=""),"",IF(I84&gt;0,J84*(I84/100),J84*(100/(-I84))))</f>
        <v/>
      </c>
      <c r="M84" s="29">
        <f>IF(K84="Hit",L84,IF(K84="No Hit",-J84,""))</f>
        <v/>
      </c>
      <c r="N84" s="29">
        <f>IF(M84="","",SUM($M$2:M84))</f>
        <v/>
      </c>
      <c r="O84" s="25" t="n"/>
    </row>
    <row r="85">
      <c r="A85" s="24" t="n"/>
      <c r="B85" s="25" t="n"/>
      <c r="C85" s="25" t="n"/>
      <c r="D85" s="25" t="n"/>
      <c r="E85" s="26" t="n"/>
      <c r="F85" s="27" t="n"/>
      <c r="G85" s="27" t="n"/>
      <c r="H85" s="27" t="n"/>
      <c r="I85" s="27" t="n"/>
      <c r="J85" s="28" t="n"/>
      <c r="K85" s="27" t="n"/>
      <c r="L85" s="28">
        <f>IF(OR(I85="",J85=""),"",IF(I85&gt;0,J85*(I85/100),J85*(100/(-I85))))</f>
        <v/>
      </c>
      <c r="M85" s="29">
        <f>IF(K85="Hit",L85,IF(K85="No Hit",-J85,""))</f>
        <v/>
      </c>
      <c r="N85" s="29">
        <f>IF(M85="","",SUM($M$2:M85))</f>
        <v/>
      </c>
      <c r="O85" s="25" t="n"/>
    </row>
    <row r="86">
      <c r="A86" s="24" t="n"/>
      <c r="B86" s="25" t="n"/>
      <c r="C86" s="25" t="n"/>
      <c r="D86" s="25" t="n"/>
      <c r="E86" s="26" t="n"/>
      <c r="F86" s="27" t="n"/>
      <c r="G86" s="27" t="n"/>
      <c r="H86" s="27" t="n"/>
      <c r="I86" s="27" t="n"/>
      <c r="J86" s="28" t="n"/>
      <c r="K86" s="27" t="n"/>
      <c r="L86" s="28">
        <f>IF(OR(I86="",J86=""),"",IF(I86&gt;0,J86*(I86/100),J86*(100/(-I86))))</f>
        <v/>
      </c>
      <c r="M86" s="29">
        <f>IF(K86="Hit",L86,IF(K86="No Hit",-J86,""))</f>
        <v/>
      </c>
      <c r="N86" s="29">
        <f>IF(M86="","",SUM($M$2:M86))</f>
        <v/>
      </c>
      <c r="O86" s="25" t="n"/>
    </row>
    <row r="87">
      <c r="A87" s="24" t="n"/>
      <c r="B87" s="25" t="n"/>
      <c r="C87" s="25" t="n"/>
      <c r="D87" s="25" t="n"/>
      <c r="E87" s="26" t="n"/>
      <c r="F87" s="27" t="n"/>
      <c r="G87" s="27" t="n"/>
      <c r="H87" s="27" t="n"/>
      <c r="I87" s="27" t="n"/>
      <c r="J87" s="28" t="n"/>
      <c r="K87" s="27" t="n"/>
      <c r="L87" s="28">
        <f>IF(OR(I87="",J87=""),"",IF(I87&gt;0,J87*(I87/100),J87*(100/(-I87))))</f>
        <v/>
      </c>
      <c r="M87" s="29">
        <f>IF(K87="Hit",L87,IF(K87="No Hit",-J87,""))</f>
        <v/>
      </c>
      <c r="N87" s="29">
        <f>IF(M87="","",SUM($M$2:M87))</f>
        <v/>
      </c>
      <c r="O87" s="25" t="n"/>
    </row>
    <row r="88">
      <c r="A88" s="24" t="n"/>
      <c r="B88" s="25" t="n"/>
      <c r="C88" s="25" t="n"/>
      <c r="D88" s="25" t="n"/>
      <c r="E88" s="26" t="n"/>
      <c r="F88" s="27" t="n"/>
      <c r="G88" s="27" t="n"/>
      <c r="H88" s="27" t="n"/>
      <c r="I88" s="27" t="n"/>
      <c r="J88" s="28" t="n"/>
      <c r="K88" s="27" t="n"/>
      <c r="L88" s="28">
        <f>IF(OR(I88="",J88=""),"",IF(I88&gt;0,J88*(I88/100),J88*(100/(-I88))))</f>
        <v/>
      </c>
      <c r="M88" s="29">
        <f>IF(K88="Hit",L88,IF(K88="No Hit",-J88,""))</f>
        <v/>
      </c>
      <c r="N88" s="29">
        <f>IF(M88="","",SUM($M$2:M88))</f>
        <v/>
      </c>
      <c r="O88" s="25" t="n"/>
    </row>
    <row r="89">
      <c r="A89" s="24" t="n"/>
      <c r="B89" s="25" t="n"/>
      <c r="C89" s="25" t="n"/>
      <c r="D89" s="25" t="n"/>
      <c r="E89" s="26" t="n"/>
      <c r="F89" s="27" t="n"/>
      <c r="G89" s="27" t="n"/>
      <c r="H89" s="27" t="n"/>
      <c r="I89" s="27" t="n"/>
      <c r="J89" s="28" t="n"/>
      <c r="K89" s="27" t="n"/>
      <c r="L89" s="28">
        <f>IF(OR(I89="",J89=""),"",IF(I89&gt;0,J89*(I89/100),J89*(100/(-I89))))</f>
        <v/>
      </c>
      <c r="M89" s="29">
        <f>IF(K89="Hit",L89,IF(K89="No Hit",-J89,""))</f>
        <v/>
      </c>
      <c r="N89" s="29">
        <f>IF(M89="","",SUM($M$2:M89))</f>
        <v/>
      </c>
      <c r="O89" s="25" t="n"/>
    </row>
    <row r="90">
      <c r="A90" s="24" t="n"/>
      <c r="B90" s="25" t="n"/>
      <c r="C90" s="25" t="n"/>
      <c r="D90" s="25" t="n"/>
      <c r="E90" s="26" t="n"/>
      <c r="F90" s="27" t="n"/>
      <c r="G90" s="27" t="n"/>
      <c r="H90" s="27" t="n"/>
      <c r="I90" s="27" t="n"/>
      <c r="J90" s="28" t="n"/>
      <c r="K90" s="27" t="n"/>
      <c r="L90" s="28">
        <f>IF(OR(I90="",J90=""),"",IF(I90&gt;0,J90*(I90/100),J90*(100/(-I90))))</f>
        <v/>
      </c>
      <c r="M90" s="29">
        <f>IF(K90="Hit",L90,IF(K90="No Hit",-J90,""))</f>
        <v/>
      </c>
      <c r="N90" s="29">
        <f>IF(M90="","",SUM($M$2:M90))</f>
        <v/>
      </c>
      <c r="O90" s="25" t="n"/>
    </row>
    <row r="91">
      <c r="A91" s="24" t="n"/>
      <c r="B91" s="25" t="n"/>
      <c r="C91" s="25" t="n"/>
      <c r="D91" s="25" t="n"/>
      <c r="E91" s="26" t="n"/>
      <c r="F91" s="27" t="n"/>
      <c r="G91" s="27" t="n"/>
      <c r="H91" s="27" t="n"/>
      <c r="I91" s="27" t="n"/>
      <c r="J91" s="28" t="n"/>
      <c r="K91" s="27" t="n"/>
      <c r="L91" s="28">
        <f>IF(OR(I91="",J91=""),"",IF(I91&gt;0,J91*(I91/100),J91*(100/(-I91))))</f>
        <v/>
      </c>
      <c r="M91" s="29">
        <f>IF(K91="Hit",L91,IF(K91="No Hit",-J91,""))</f>
        <v/>
      </c>
      <c r="N91" s="29">
        <f>IF(M91="","",SUM($M$2:M91))</f>
        <v/>
      </c>
      <c r="O91" s="25" t="n"/>
    </row>
    <row r="92">
      <c r="A92" s="24" t="n"/>
      <c r="B92" s="25" t="n"/>
      <c r="C92" s="25" t="n"/>
      <c r="D92" s="25" t="n"/>
      <c r="E92" s="26" t="n"/>
      <c r="F92" s="27" t="n"/>
      <c r="G92" s="27" t="n"/>
      <c r="H92" s="27" t="n"/>
      <c r="I92" s="27" t="n"/>
      <c r="J92" s="28" t="n"/>
      <c r="K92" s="27" t="n"/>
      <c r="L92" s="28">
        <f>IF(OR(I92="",J92=""),"",IF(I92&gt;0,J92*(I92/100),J92*(100/(-I92))))</f>
        <v/>
      </c>
      <c r="M92" s="29">
        <f>IF(K92="Hit",L92,IF(K92="No Hit",-J92,""))</f>
        <v/>
      </c>
      <c r="N92" s="29">
        <f>IF(M92="","",SUM($M$2:M92))</f>
        <v/>
      </c>
      <c r="O92" s="25" t="n"/>
    </row>
    <row r="93">
      <c r="A93" s="24" t="n"/>
      <c r="B93" s="25" t="n"/>
      <c r="C93" s="25" t="n"/>
      <c r="D93" s="25" t="n"/>
      <c r="E93" s="26" t="n"/>
      <c r="F93" s="27" t="n"/>
      <c r="G93" s="27" t="n"/>
      <c r="H93" s="27" t="n"/>
      <c r="I93" s="27" t="n"/>
      <c r="J93" s="28" t="n"/>
      <c r="K93" s="27" t="n"/>
      <c r="L93" s="28">
        <f>IF(OR(I93="",J93=""),"",IF(I93&gt;0,J93*(I93/100),J93*(100/(-I93))))</f>
        <v/>
      </c>
      <c r="M93" s="29">
        <f>IF(K93="Hit",L93,IF(K93="No Hit",-J93,""))</f>
        <v/>
      </c>
      <c r="N93" s="29">
        <f>IF(M93="","",SUM($M$2:M93))</f>
        <v/>
      </c>
      <c r="O93" s="25" t="n"/>
    </row>
    <row r="94">
      <c r="A94" s="24" t="n"/>
      <c r="B94" s="25" t="n"/>
      <c r="C94" s="25" t="n"/>
      <c r="D94" s="25" t="n"/>
      <c r="E94" s="26" t="n"/>
      <c r="F94" s="27" t="n"/>
      <c r="G94" s="27" t="n"/>
      <c r="H94" s="27" t="n"/>
      <c r="I94" s="27" t="n"/>
      <c r="J94" s="28" t="n"/>
      <c r="K94" s="27" t="n"/>
      <c r="L94" s="28">
        <f>IF(OR(I94="",J94=""),"",IF(I94&gt;0,J94*(I94/100),J94*(100/(-I94))))</f>
        <v/>
      </c>
      <c r="M94" s="29">
        <f>IF(K94="Hit",L94,IF(K94="No Hit",-J94,""))</f>
        <v/>
      </c>
      <c r="N94" s="29">
        <f>IF(M94="","",SUM($M$2:M94))</f>
        <v/>
      </c>
      <c r="O94" s="25" t="n"/>
    </row>
    <row r="95">
      <c r="A95" s="24" t="n"/>
      <c r="B95" s="25" t="n"/>
      <c r="C95" s="25" t="n"/>
      <c r="D95" s="25" t="n"/>
      <c r="E95" s="26" t="n"/>
      <c r="F95" s="27" t="n"/>
      <c r="G95" s="27" t="n"/>
      <c r="H95" s="27" t="n"/>
      <c r="I95" s="27" t="n"/>
      <c r="J95" s="28" t="n"/>
      <c r="K95" s="27" t="n"/>
      <c r="L95" s="28">
        <f>IF(OR(I95="",J95=""),"",IF(I95&gt;0,J95*(I95/100),J95*(100/(-I95))))</f>
        <v/>
      </c>
      <c r="M95" s="29">
        <f>IF(K95="Hit",L95,IF(K95="No Hit",-J95,""))</f>
        <v/>
      </c>
      <c r="N95" s="29">
        <f>IF(M95="","",SUM($M$2:M95))</f>
        <v/>
      </c>
      <c r="O95" s="25" t="n"/>
    </row>
    <row r="96">
      <c r="A96" s="24" t="n"/>
      <c r="B96" s="25" t="n"/>
      <c r="C96" s="25" t="n"/>
      <c r="D96" s="25" t="n"/>
      <c r="E96" s="26" t="n"/>
      <c r="F96" s="27" t="n"/>
      <c r="G96" s="27" t="n"/>
      <c r="H96" s="27" t="n"/>
      <c r="I96" s="27" t="n"/>
      <c r="J96" s="28" t="n"/>
      <c r="K96" s="27" t="n"/>
      <c r="L96" s="28">
        <f>IF(OR(I96="",J96=""),"",IF(I96&gt;0,J96*(I96/100),J96*(100/(-I96))))</f>
        <v/>
      </c>
      <c r="M96" s="29">
        <f>IF(K96="Hit",L96,IF(K96="No Hit",-J96,""))</f>
        <v/>
      </c>
      <c r="N96" s="29">
        <f>IF(M96="","",SUM($M$2:M96))</f>
        <v/>
      </c>
      <c r="O96" s="25" t="n"/>
    </row>
    <row r="97">
      <c r="A97" s="24" t="n"/>
      <c r="B97" s="25" t="n"/>
      <c r="C97" s="25" t="n"/>
      <c r="D97" s="25" t="n"/>
      <c r="E97" s="26" t="n"/>
      <c r="F97" s="27" t="n"/>
      <c r="G97" s="27" t="n"/>
      <c r="H97" s="27" t="n"/>
      <c r="I97" s="27" t="n"/>
      <c r="J97" s="28" t="n"/>
      <c r="K97" s="27" t="n"/>
      <c r="L97" s="28">
        <f>IF(OR(I97="",J97=""),"",IF(I97&gt;0,J97*(I97/100),J97*(100/(-I97))))</f>
        <v/>
      </c>
      <c r="M97" s="29">
        <f>IF(K97="Hit",L97,IF(K97="No Hit",-J97,""))</f>
        <v/>
      </c>
      <c r="N97" s="29">
        <f>IF(M97="","",SUM($M$2:M97))</f>
        <v/>
      </c>
      <c r="O97" s="25" t="n"/>
    </row>
    <row r="98">
      <c r="A98" s="24" t="n"/>
      <c r="B98" s="25" t="n"/>
      <c r="C98" s="25" t="n"/>
      <c r="D98" s="25" t="n"/>
      <c r="E98" s="26" t="n"/>
      <c r="F98" s="27" t="n"/>
      <c r="G98" s="27" t="n"/>
      <c r="H98" s="27" t="n"/>
      <c r="I98" s="27" t="n"/>
      <c r="J98" s="28" t="n"/>
      <c r="K98" s="27" t="n"/>
      <c r="L98" s="28">
        <f>IF(OR(I98="",J98=""),"",IF(I98&gt;0,J98*(I98/100),J98*(100/(-I98))))</f>
        <v/>
      </c>
      <c r="M98" s="29">
        <f>IF(K98="Hit",L98,IF(K98="No Hit",-J98,""))</f>
        <v/>
      </c>
      <c r="N98" s="29">
        <f>IF(M98="","",SUM($M$2:M98))</f>
        <v/>
      </c>
      <c r="O98" s="25" t="n"/>
    </row>
    <row r="99">
      <c r="A99" s="24" t="n"/>
      <c r="B99" s="25" t="n"/>
      <c r="C99" s="25" t="n"/>
      <c r="D99" s="25" t="n"/>
      <c r="E99" s="26" t="n"/>
      <c r="F99" s="27" t="n"/>
      <c r="G99" s="27" t="n"/>
      <c r="H99" s="27" t="n"/>
      <c r="I99" s="27" t="n"/>
      <c r="J99" s="28" t="n"/>
      <c r="K99" s="27" t="n"/>
      <c r="L99" s="28">
        <f>IF(OR(I99="",J99=""),"",IF(I99&gt;0,J99*(I99/100),J99*(100/(-I99))))</f>
        <v/>
      </c>
      <c r="M99" s="29">
        <f>IF(K99="Hit",L99,IF(K99="No Hit",-J99,""))</f>
        <v/>
      </c>
      <c r="N99" s="29">
        <f>IF(M99="","",SUM($M$2:M99))</f>
        <v/>
      </c>
      <c r="O99" s="25" t="n"/>
    </row>
    <row r="100">
      <c r="A100" s="24" t="n"/>
      <c r="B100" s="25" t="n"/>
      <c r="C100" s="25" t="n"/>
      <c r="D100" s="25" t="n"/>
      <c r="E100" s="26" t="n"/>
      <c r="F100" s="27" t="n"/>
      <c r="G100" s="27" t="n"/>
      <c r="H100" s="27" t="n"/>
      <c r="I100" s="27" t="n"/>
      <c r="J100" s="28" t="n"/>
      <c r="K100" s="27" t="n"/>
      <c r="L100" s="28">
        <f>IF(OR(I100="",J100=""),"",IF(I100&gt;0,J100*(I100/100),J100*(100/(-I100))))</f>
        <v/>
      </c>
      <c r="M100" s="29">
        <f>IF(K100="Hit",L100,IF(K100="No Hit",-J100,""))</f>
        <v/>
      </c>
      <c r="N100" s="29">
        <f>IF(M100="","",SUM($M$2:M100))</f>
        <v/>
      </c>
      <c r="O100" s="25" t="n"/>
    </row>
    <row r="101">
      <c r="A101" s="24" t="n"/>
      <c r="B101" s="25" t="n"/>
      <c r="C101" s="25" t="n"/>
      <c r="D101" s="25" t="n"/>
      <c r="E101" s="26" t="n"/>
      <c r="F101" s="27" t="n"/>
      <c r="G101" s="27" t="n"/>
      <c r="H101" s="27" t="n"/>
      <c r="I101" s="27" t="n"/>
      <c r="J101" s="28" t="n"/>
      <c r="K101" s="27" t="n"/>
      <c r="L101" s="28">
        <f>IF(OR(I101="",J101=""),"",IF(I101&gt;0,J101*(I101/100),J101*(100/(-I101))))</f>
        <v/>
      </c>
      <c r="M101" s="29">
        <f>IF(K101="Hit",L101,IF(K101="No Hit",-J101,""))</f>
        <v/>
      </c>
      <c r="N101" s="29">
        <f>IF(M101="","",SUM($M$2:M101))</f>
        <v/>
      </c>
      <c r="O101" s="25" t="n"/>
    </row>
    <row r="102">
      <c r="A102" s="24" t="n"/>
      <c r="B102" s="25" t="n"/>
      <c r="C102" s="25" t="n"/>
      <c r="D102" s="25" t="n"/>
      <c r="E102" s="26" t="n"/>
      <c r="F102" s="27" t="n"/>
      <c r="G102" s="27" t="n"/>
      <c r="H102" s="27" t="n"/>
      <c r="I102" s="27" t="n"/>
      <c r="J102" s="28" t="n"/>
      <c r="K102" s="27" t="n"/>
      <c r="L102" s="28">
        <f>IF(OR(I102="",J102=""),"",IF(I102&gt;0,J102*(I102/100),J102*(100/(-I102))))</f>
        <v/>
      </c>
      <c r="M102" s="29">
        <f>IF(K102="Hit",L102,IF(K102="No Hit",-J102,""))</f>
        <v/>
      </c>
      <c r="N102" s="29">
        <f>IF(M102="","",SUM($M$2:M102))</f>
        <v/>
      </c>
      <c r="O102" s="25" t="n"/>
    </row>
    <row r="103">
      <c r="A103" s="24" t="n"/>
      <c r="B103" s="25" t="n"/>
      <c r="C103" s="25" t="n"/>
      <c r="D103" s="25" t="n"/>
      <c r="E103" s="26" t="n"/>
      <c r="F103" s="27" t="n"/>
      <c r="G103" s="27" t="n"/>
      <c r="H103" s="27" t="n"/>
      <c r="I103" s="27" t="n"/>
      <c r="J103" s="28" t="n"/>
      <c r="K103" s="27" t="n"/>
      <c r="L103" s="28">
        <f>IF(OR(I103="",J103=""),"",IF(I103&gt;0,J103*(I103/100),J103*(100/(-I103))))</f>
        <v/>
      </c>
      <c r="M103" s="29">
        <f>IF(K103="Hit",L103,IF(K103="No Hit",-J103,""))</f>
        <v/>
      </c>
      <c r="N103" s="29">
        <f>IF(M103="","",SUM($M$2:M103))</f>
        <v/>
      </c>
      <c r="O103" s="25" t="n"/>
    </row>
    <row r="104">
      <c r="A104" s="24" t="n"/>
      <c r="B104" s="25" t="n"/>
      <c r="C104" s="25" t="n"/>
      <c r="D104" s="25" t="n"/>
      <c r="E104" s="26" t="n"/>
      <c r="F104" s="27" t="n"/>
      <c r="G104" s="27" t="n"/>
      <c r="H104" s="27" t="n"/>
      <c r="I104" s="27" t="n"/>
      <c r="J104" s="28" t="n"/>
      <c r="K104" s="27" t="n"/>
      <c r="L104" s="28">
        <f>IF(OR(I104="",J104=""),"",IF(I104&gt;0,J104*(I104/100),J104*(100/(-I104))))</f>
        <v/>
      </c>
      <c r="M104" s="29">
        <f>IF(K104="Hit",L104,IF(K104="No Hit",-J104,""))</f>
        <v/>
      </c>
      <c r="N104" s="29">
        <f>IF(M104="","",SUM($M$2:M104))</f>
        <v/>
      </c>
      <c r="O104" s="25" t="n"/>
    </row>
    <row r="105">
      <c r="A105" s="24" t="n"/>
      <c r="B105" s="25" t="n"/>
      <c r="C105" s="25" t="n"/>
      <c r="D105" s="25" t="n"/>
      <c r="E105" s="26" t="n"/>
      <c r="F105" s="27" t="n"/>
      <c r="G105" s="27" t="n"/>
      <c r="H105" s="27" t="n"/>
      <c r="I105" s="27" t="n"/>
      <c r="J105" s="28" t="n"/>
      <c r="K105" s="27" t="n"/>
      <c r="L105" s="28">
        <f>IF(OR(I105="",J105=""),"",IF(I105&gt;0,J105*(I105/100),J105*(100/(-I105))))</f>
        <v/>
      </c>
      <c r="M105" s="29">
        <f>IF(K105="Hit",L105,IF(K105="No Hit",-J105,""))</f>
        <v/>
      </c>
      <c r="N105" s="29">
        <f>IF(M105="","",SUM($M$2:M105))</f>
        <v/>
      </c>
      <c r="O105" s="25" t="n"/>
    </row>
    <row r="106">
      <c r="A106" s="24" t="n"/>
      <c r="B106" s="25" t="n"/>
      <c r="C106" s="25" t="n"/>
      <c r="D106" s="25" t="n"/>
      <c r="E106" s="26" t="n"/>
      <c r="F106" s="27" t="n"/>
      <c r="G106" s="27" t="n"/>
      <c r="H106" s="27" t="n"/>
      <c r="I106" s="27" t="n"/>
      <c r="J106" s="28" t="n"/>
      <c r="K106" s="27" t="n"/>
      <c r="L106" s="28">
        <f>IF(OR(I106="",J106=""),"",IF(I106&gt;0,J106*(I106/100),J106*(100/(-I106))))</f>
        <v/>
      </c>
      <c r="M106" s="29">
        <f>IF(K106="Hit",L106,IF(K106="No Hit",-J106,""))</f>
        <v/>
      </c>
      <c r="N106" s="29">
        <f>IF(M106="","",SUM($M$2:M106))</f>
        <v/>
      </c>
      <c r="O106" s="25" t="n"/>
    </row>
    <row r="107">
      <c r="A107" s="24" t="n"/>
      <c r="B107" s="25" t="n"/>
      <c r="C107" s="25" t="n"/>
      <c r="D107" s="25" t="n"/>
      <c r="E107" s="26" t="n"/>
      <c r="F107" s="27" t="n"/>
      <c r="G107" s="27" t="n"/>
      <c r="H107" s="27" t="n"/>
      <c r="I107" s="27" t="n"/>
      <c r="J107" s="28" t="n"/>
      <c r="K107" s="27" t="n"/>
      <c r="L107" s="28">
        <f>IF(OR(I107="",J107=""),"",IF(I107&gt;0,J107*(I107/100),J107*(100/(-I107))))</f>
        <v/>
      </c>
      <c r="M107" s="29">
        <f>IF(K107="Hit",L107,IF(K107="No Hit",-J107,""))</f>
        <v/>
      </c>
      <c r="N107" s="29">
        <f>IF(M107="","",SUM($M$2:M107))</f>
        <v/>
      </c>
      <c r="O107" s="25" t="n"/>
    </row>
    <row r="108">
      <c r="A108" s="24" t="n"/>
      <c r="B108" s="25" t="n"/>
      <c r="C108" s="25" t="n"/>
      <c r="D108" s="25" t="n"/>
      <c r="E108" s="26" t="n"/>
      <c r="F108" s="27" t="n"/>
      <c r="G108" s="27" t="n"/>
      <c r="H108" s="27" t="n"/>
      <c r="I108" s="27" t="n"/>
      <c r="J108" s="28" t="n"/>
      <c r="K108" s="27" t="n"/>
      <c r="L108" s="28">
        <f>IF(OR(I108="",J108=""),"",IF(I108&gt;0,J108*(I108/100),J108*(100/(-I108))))</f>
        <v/>
      </c>
      <c r="M108" s="29">
        <f>IF(K108="Hit",L108,IF(K108="No Hit",-J108,""))</f>
        <v/>
      </c>
      <c r="N108" s="29">
        <f>IF(M108="","",SUM($M$2:M108))</f>
        <v/>
      </c>
      <c r="O108" s="25" t="n"/>
    </row>
    <row r="109">
      <c r="A109" s="24" t="n"/>
      <c r="B109" s="25" t="n"/>
      <c r="C109" s="25" t="n"/>
      <c r="D109" s="25" t="n"/>
      <c r="E109" s="26" t="n"/>
      <c r="F109" s="27" t="n"/>
      <c r="G109" s="27" t="n"/>
      <c r="H109" s="27" t="n"/>
      <c r="I109" s="27" t="n"/>
      <c r="J109" s="28" t="n"/>
      <c r="K109" s="27" t="n"/>
      <c r="L109" s="28">
        <f>IF(OR(I109="",J109=""),"",IF(I109&gt;0,J109*(I109/100),J109*(100/(-I109))))</f>
        <v/>
      </c>
      <c r="M109" s="29">
        <f>IF(K109="Hit",L109,IF(K109="No Hit",-J109,""))</f>
        <v/>
      </c>
      <c r="N109" s="29">
        <f>IF(M109="","",SUM($M$2:M109))</f>
        <v/>
      </c>
      <c r="O109" s="25" t="n"/>
    </row>
    <row r="110">
      <c r="A110" s="24" t="n"/>
      <c r="B110" s="25" t="n"/>
      <c r="C110" s="25" t="n"/>
      <c r="D110" s="25" t="n"/>
      <c r="E110" s="26" t="n"/>
      <c r="F110" s="27" t="n"/>
      <c r="G110" s="27" t="n"/>
      <c r="H110" s="27" t="n"/>
      <c r="I110" s="27" t="n"/>
      <c r="J110" s="28" t="n"/>
      <c r="K110" s="27" t="n"/>
      <c r="L110" s="28">
        <f>IF(OR(I110="",J110=""),"",IF(I110&gt;0,J110*(I110/100),J110*(100/(-I110))))</f>
        <v/>
      </c>
      <c r="M110" s="29">
        <f>IF(K110="Hit",L110,IF(K110="No Hit",-J110,""))</f>
        <v/>
      </c>
      <c r="N110" s="29">
        <f>IF(M110="","",SUM($M$2:M110))</f>
        <v/>
      </c>
      <c r="O110" s="25" t="n"/>
    </row>
    <row r="111">
      <c r="A111" s="24" t="n"/>
      <c r="B111" s="25" t="n"/>
      <c r="C111" s="25" t="n"/>
      <c r="D111" s="25" t="n"/>
      <c r="E111" s="26" t="n"/>
      <c r="F111" s="27" t="n"/>
      <c r="G111" s="27" t="n"/>
      <c r="H111" s="27" t="n"/>
      <c r="I111" s="27" t="n"/>
      <c r="J111" s="28" t="n"/>
      <c r="K111" s="27" t="n"/>
      <c r="L111" s="28">
        <f>IF(OR(I111="",J111=""),"",IF(I111&gt;0,J111*(I111/100),J111*(100/(-I111))))</f>
        <v/>
      </c>
      <c r="M111" s="29">
        <f>IF(K111="Hit",L111,IF(K111="No Hit",-J111,""))</f>
        <v/>
      </c>
      <c r="N111" s="29">
        <f>IF(M111="","",SUM($M$2:M111))</f>
        <v/>
      </c>
      <c r="O111" s="25" t="n"/>
    </row>
    <row r="112">
      <c r="A112" s="24" t="n"/>
      <c r="B112" s="25" t="n"/>
      <c r="C112" s="25" t="n"/>
      <c r="D112" s="25" t="n"/>
      <c r="E112" s="26" t="n"/>
      <c r="F112" s="27" t="n"/>
      <c r="G112" s="27" t="n"/>
      <c r="H112" s="27" t="n"/>
      <c r="I112" s="27" t="n"/>
      <c r="J112" s="28" t="n"/>
      <c r="K112" s="27" t="n"/>
      <c r="L112" s="28">
        <f>IF(OR(I112="",J112=""),"",IF(I112&gt;0,J112*(I112/100),J112*(100/(-I112))))</f>
        <v/>
      </c>
      <c r="M112" s="29">
        <f>IF(K112="Hit",L112,IF(K112="No Hit",-J112,""))</f>
        <v/>
      </c>
      <c r="N112" s="29">
        <f>IF(M112="","",SUM($M$2:M112))</f>
        <v/>
      </c>
      <c r="O112" s="25" t="n"/>
    </row>
    <row r="113">
      <c r="A113" s="24" t="n"/>
      <c r="B113" s="25" t="n"/>
      <c r="C113" s="25" t="n"/>
      <c r="D113" s="25" t="n"/>
      <c r="E113" s="26" t="n"/>
      <c r="F113" s="27" t="n"/>
      <c r="G113" s="27" t="n"/>
      <c r="H113" s="27" t="n"/>
      <c r="I113" s="27" t="n"/>
      <c r="J113" s="28" t="n"/>
      <c r="K113" s="27" t="n"/>
      <c r="L113" s="28">
        <f>IF(OR(I113="",J113=""),"",IF(I113&gt;0,J113*(I113/100),J113*(100/(-I113))))</f>
        <v/>
      </c>
      <c r="M113" s="29">
        <f>IF(K113="Hit",L113,IF(K113="No Hit",-J113,""))</f>
        <v/>
      </c>
      <c r="N113" s="29">
        <f>IF(M113="","",SUM($M$2:M113))</f>
        <v/>
      </c>
      <c r="O113" s="25" t="n"/>
    </row>
    <row r="114">
      <c r="A114" s="24" t="n"/>
      <c r="B114" s="25" t="n"/>
      <c r="C114" s="25" t="n"/>
      <c r="D114" s="25" t="n"/>
      <c r="E114" s="26" t="n"/>
      <c r="F114" s="27" t="n"/>
      <c r="G114" s="27" t="n"/>
      <c r="H114" s="27" t="n"/>
      <c r="I114" s="27" t="n"/>
      <c r="J114" s="28" t="n"/>
      <c r="K114" s="27" t="n"/>
      <c r="L114" s="28">
        <f>IF(OR(I114="",J114=""),"",IF(I114&gt;0,J114*(I114/100),J114*(100/(-I114))))</f>
        <v/>
      </c>
      <c r="M114" s="29">
        <f>IF(K114="Hit",L114,IF(K114="No Hit",-J114,""))</f>
        <v/>
      </c>
      <c r="N114" s="29">
        <f>IF(M114="","",SUM($M$2:M114))</f>
        <v/>
      </c>
      <c r="O114" s="25" t="n"/>
    </row>
    <row r="115">
      <c r="A115" s="24" t="n"/>
      <c r="B115" s="25" t="n"/>
      <c r="C115" s="25" t="n"/>
      <c r="D115" s="25" t="n"/>
      <c r="E115" s="26" t="n"/>
      <c r="F115" s="27" t="n"/>
      <c r="G115" s="27" t="n"/>
      <c r="H115" s="27" t="n"/>
      <c r="I115" s="27" t="n"/>
      <c r="J115" s="28" t="n"/>
      <c r="K115" s="27" t="n"/>
      <c r="L115" s="28">
        <f>IF(OR(I115="",J115=""),"",IF(I115&gt;0,J115*(I115/100),J115*(100/(-I115))))</f>
        <v/>
      </c>
      <c r="M115" s="29">
        <f>IF(K115="Hit",L115,IF(K115="No Hit",-J115,""))</f>
        <v/>
      </c>
      <c r="N115" s="29">
        <f>IF(M115="","",SUM($M$2:M115))</f>
        <v/>
      </c>
      <c r="O115" s="25" t="n"/>
    </row>
    <row r="116">
      <c r="A116" s="24" t="n"/>
      <c r="B116" s="25" t="n"/>
      <c r="C116" s="25" t="n"/>
      <c r="D116" s="25" t="n"/>
      <c r="E116" s="26" t="n"/>
      <c r="F116" s="27" t="n"/>
      <c r="G116" s="27" t="n"/>
      <c r="H116" s="27" t="n"/>
      <c r="I116" s="27" t="n"/>
      <c r="J116" s="28" t="n"/>
      <c r="K116" s="27" t="n"/>
      <c r="L116" s="28">
        <f>IF(OR(I116="",J116=""),"",IF(I116&gt;0,J116*(I116/100),J116*(100/(-I116))))</f>
        <v/>
      </c>
      <c r="M116" s="29">
        <f>IF(K116="Hit",L116,IF(K116="No Hit",-J116,""))</f>
        <v/>
      </c>
      <c r="N116" s="29">
        <f>IF(M116="","",SUM($M$2:M116))</f>
        <v/>
      </c>
      <c r="O116" s="25" t="n"/>
    </row>
    <row r="117">
      <c r="A117" s="24" t="n"/>
      <c r="B117" s="25" t="n"/>
      <c r="C117" s="25" t="n"/>
      <c r="D117" s="25" t="n"/>
      <c r="E117" s="26" t="n"/>
      <c r="F117" s="27" t="n"/>
      <c r="G117" s="27" t="n"/>
      <c r="H117" s="27" t="n"/>
      <c r="I117" s="27" t="n"/>
      <c r="J117" s="28" t="n"/>
      <c r="K117" s="27" t="n"/>
      <c r="L117" s="28">
        <f>IF(OR(I117="",J117=""),"",IF(I117&gt;0,J117*(I117/100),J117*(100/(-I117))))</f>
        <v/>
      </c>
      <c r="M117" s="29">
        <f>IF(K117="Hit",L117,IF(K117="No Hit",-J117,""))</f>
        <v/>
      </c>
      <c r="N117" s="29">
        <f>IF(M117="","",SUM($M$2:M117))</f>
        <v/>
      </c>
      <c r="O117" s="25" t="n"/>
    </row>
    <row r="118">
      <c r="A118" s="24" t="n"/>
      <c r="B118" s="25" t="n"/>
      <c r="C118" s="25" t="n"/>
      <c r="D118" s="25" t="n"/>
      <c r="E118" s="26" t="n"/>
      <c r="F118" s="27" t="n"/>
      <c r="G118" s="27" t="n"/>
      <c r="H118" s="27" t="n"/>
      <c r="I118" s="27" t="n"/>
      <c r="J118" s="28" t="n"/>
      <c r="K118" s="27" t="n"/>
      <c r="L118" s="28">
        <f>IF(OR(I118="",J118=""),"",IF(I118&gt;0,J118*(I118/100),J118*(100/(-I118))))</f>
        <v/>
      </c>
      <c r="M118" s="29">
        <f>IF(K118="Hit",L118,IF(K118="No Hit",-J118,""))</f>
        <v/>
      </c>
      <c r="N118" s="29">
        <f>IF(M118="","",SUM($M$2:M118))</f>
        <v/>
      </c>
      <c r="O118" s="25" t="n"/>
    </row>
    <row r="119">
      <c r="A119" s="24" t="n"/>
      <c r="B119" s="25" t="n"/>
      <c r="C119" s="25" t="n"/>
      <c r="D119" s="25" t="n"/>
      <c r="E119" s="26" t="n"/>
      <c r="F119" s="27" t="n"/>
      <c r="G119" s="27" t="n"/>
      <c r="H119" s="27" t="n"/>
      <c r="I119" s="27" t="n"/>
      <c r="J119" s="28" t="n"/>
      <c r="K119" s="27" t="n"/>
      <c r="L119" s="28">
        <f>IF(OR(I119="",J119=""),"",IF(I119&gt;0,J119*(I119/100),J119*(100/(-I119))))</f>
        <v/>
      </c>
      <c r="M119" s="29">
        <f>IF(K119="Hit",L119,IF(K119="No Hit",-J119,""))</f>
        <v/>
      </c>
      <c r="N119" s="29">
        <f>IF(M119="","",SUM($M$2:M119))</f>
        <v/>
      </c>
      <c r="O119" s="25" t="n"/>
    </row>
    <row r="120">
      <c r="A120" s="24" t="n"/>
      <c r="B120" s="25" t="n"/>
      <c r="C120" s="25" t="n"/>
      <c r="D120" s="25" t="n"/>
      <c r="E120" s="26" t="n"/>
      <c r="F120" s="27" t="n"/>
      <c r="G120" s="27" t="n"/>
      <c r="H120" s="27" t="n"/>
      <c r="I120" s="27" t="n"/>
      <c r="J120" s="28" t="n"/>
      <c r="K120" s="27" t="n"/>
      <c r="L120" s="28">
        <f>IF(OR(I120="",J120=""),"",IF(I120&gt;0,J120*(I120/100),J120*(100/(-I120))))</f>
        <v/>
      </c>
      <c r="M120" s="29">
        <f>IF(K120="Hit",L120,IF(K120="No Hit",-J120,""))</f>
        <v/>
      </c>
      <c r="N120" s="29">
        <f>IF(M120="","",SUM($M$2:M120))</f>
        <v/>
      </c>
      <c r="O120" s="25" t="n"/>
    </row>
    <row r="121">
      <c r="A121" s="24" t="n"/>
      <c r="B121" s="25" t="n"/>
      <c r="C121" s="25" t="n"/>
      <c r="D121" s="25" t="n"/>
      <c r="E121" s="26" t="n"/>
      <c r="F121" s="27" t="n"/>
      <c r="G121" s="27" t="n"/>
      <c r="H121" s="27" t="n"/>
      <c r="I121" s="27" t="n"/>
      <c r="J121" s="28" t="n"/>
      <c r="K121" s="27" t="n"/>
      <c r="L121" s="28">
        <f>IF(OR(I121="",J121=""),"",IF(I121&gt;0,J121*(I121/100),J121*(100/(-I121))))</f>
        <v/>
      </c>
      <c r="M121" s="29">
        <f>IF(K121="Hit",L121,IF(K121="No Hit",-J121,""))</f>
        <v/>
      </c>
      <c r="N121" s="29">
        <f>IF(M121="","",SUM($M$2:M121))</f>
        <v/>
      </c>
      <c r="O121" s="25" t="n"/>
    </row>
    <row r="122">
      <c r="A122" s="24" t="n"/>
      <c r="B122" s="25" t="n"/>
      <c r="C122" s="25" t="n"/>
      <c r="D122" s="25" t="n"/>
      <c r="E122" s="26" t="n"/>
      <c r="F122" s="27" t="n"/>
      <c r="G122" s="27" t="n"/>
      <c r="H122" s="27" t="n"/>
      <c r="I122" s="27" t="n"/>
      <c r="J122" s="28" t="n"/>
      <c r="K122" s="27" t="n"/>
      <c r="L122" s="28">
        <f>IF(OR(I122="",J122=""),"",IF(I122&gt;0,J122*(I122/100),J122*(100/(-I122))))</f>
        <v/>
      </c>
      <c r="M122" s="29">
        <f>IF(K122="Hit",L122,IF(K122="No Hit",-J122,""))</f>
        <v/>
      </c>
      <c r="N122" s="29">
        <f>IF(M122="","",SUM($M$2:M122))</f>
        <v/>
      </c>
      <c r="O122" s="25" t="n"/>
    </row>
    <row r="123">
      <c r="A123" s="24" t="n"/>
      <c r="B123" s="25" t="n"/>
      <c r="C123" s="25" t="n"/>
      <c r="D123" s="25" t="n"/>
      <c r="E123" s="26" t="n"/>
      <c r="F123" s="27" t="n"/>
      <c r="G123" s="27" t="n"/>
      <c r="H123" s="27" t="n"/>
      <c r="I123" s="27" t="n"/>
      <c r="J123" s="28" t="n"/>
      <c r="K123" s="27" t="n"/>
      <c r="L123" s="28">
        <f>IF(OR(I123="",J123=""),"",IF(I123&gt;0,J123*(I123/100),J123*(100/(-I123))))</f>
        <v/>
      </c>
      <c r="M123" s="29">
        <f>IF(K123="Hit",L123,IF(K123="No Hit",-J123,""))</f>
        <v/>
      </c>
      <c r="N123" s="29">
        <f>IF(M123="","",SUM($M$2:M123))</f>
        <v/>
      </c>
      <c r="O123" s="25" t="n"/>
    </row>
    <row r="124">
      <c r="A124" s="24" t="n"/>
      <c r="B124" s="25" t="n"/>
      <c r="C124" s="25" t="n"/>
      <c r="D124" s="25" t="n"/>
      <c r="E124" s="26" t="n"/>
      <c r="F124" s="27" t="n"/>
      <c r="G124" s="27" t="n"/>
      <c r="H124" s="27" t="n"/>
      <c r="I124" s="27" t="n"/>
      <c r="J124" s="28" t="n"/>
      <c r="K124" s="27" t="n"/>
      <c r="L124" s="28">
        <f>IF(OR(I124="",J124=""),"",IF(I124&gt;0,J124*(I124/100),J124*(100/(-I124))))</f>
        <v/>
      </c>
      <c r="M124" s="29">
        <f>IF(K124="Hit",L124,IF(K124="No Hit",-J124,""))</f>
        <v/>
      </c>
      <c r="N124" s="29">
        <f>IF(M124="","",SUM($M$2:M124))</f>
        <v/>
      </c>
      <c r="O124" s="25" t="n"/>
    </row>
    <row r="125">
      <c r="A125" s="24" t="n"/>
      <c r="B125" s="25" t="n"/>
      <c r="C125" s="25" t="n"/>
      <c r="D125" s="25" t="n"/>
      <c r="E125" s="26" t="n"/>
      <c r="F125" s="27" t="n"/>
      <c r="G125" s="27" t="n"/>
      <c r="H125" s="27" t="n"/>
      <c r="I125" s="27" t="n"/>
      <c r="J125" s="28" t="n"/>
      <c r="K125" s="27" t="n"/>
      <c r="L125" s="28">
        <f>IF(OR(I125="",J125=""),"",IF(I125&gt;0,J125*(I125/100),J125*(100/(-I125))))</f>
        <v/>
      </c>
      <c r="M125" s="29">
        <f>IF(K125="Hit",L125,IF(K125="No Hit",-J125,""))</f>
        <v/>
      </c>
      <c r="N125" s="29">
        <f>IF(M125="","",SUM($M$2:M125))</f>
        <v/>
      </c>
      <c r="O125" s="25" t="n"/>
    </row>
    <row r="126">
      <c r="A126" s="24" t="n"/>
      <c r="B126" s="25" t="n"/>
      <c r="C126" s="25" t="n"/>
      <c r="D126" s="25" t="n"/>
      <c r="E126" s="26" t="n"/>
      <c r="F126" s="27" t="n"/>
      <c r="G126" s="27" t="n"/>
      <c r="H126" s="27" t="n"/>
      <c r="I126" s="27" t="n"/>
      <c r="J126" s="28" t="n"/>
      <c r="K126" s="27" t="n"/>
      <c r="L126" s="28">
        <f>IF(OR(I126="",J126=""),"",IF(I126&gt;0,J126*(I126/100),J126*(100/(-I126))))</f>
        <v/>
      </c>
      <c r="M126" s="29">
        <f>IF(K126="Hit",L126,IF(K126="No Hit",-J126,""))</f>
        <v/>
      </c>
      <c r="N126" s="29">
        <f>IF(M126="","",SUM($M$2:M126))</f>
        <v/>
      </c>
      <c r="O126" s="25" t="n"/>
    </row>
    <row r="127">
      <c r="A127" s="24" t="n"/>
      <c r="B127" s="25" t="n"/>
      <c r="C127" s="25" t="n"/>
      <c r="D127" s="25" t="n"/>
      <c r="E127" s="26" t="n"/>
      <c r="F127" s="27" t="n"/>
      <c r="G127" s="27" t="n"/>
      <c r="H127" s="27" t="n"/>
      <c r="I127" s="27" t="n"/>
      <c r="J127" s="28" t="n"/>
      <c r="K127" s="27" t="n"/>
      <c r="L127" s="28">
        <f>IF(OR(I127="",J127=""),"",IF(I127&gt;0,J127*(I127/100),J127*(100/(-I127))))</f>
        <v/>
      </c>
      <c r="M127" s="29">
        <f>IF(K127="Hit",L127,IF(K127="No Hit",-J127,""))</f>
        <v/>
      </c>
      <c r="N127" s="29">
        <f>IF(M127="","",SUM($M$2:M127))</f>
        <v/>
      </c>
      <c r="O127" s="25" t="n"/>
    </row>
    <row r="128">
      <c r="A128" s="24" t="n"/>
      <c r="B128" s="25" t="n"/>
      <c r="C128" s="25" t="n"/>
      <c r="D128" s="25" t="n"/>
      <c r="E128" s="26" t="n"/>
      <c r="F128" s="27" t="n"/>
      <c r="G128" s="27" t="n"/>
      <c r="H128" s="27" t="n"/>
      <c r="I128" s="27" t="n"/>
      <c r="J128" s="28" t="n"/>
      <c r="K128" s="27" t="n"/>
      <c r="L128" s="28">
        <f>IF(OR(I128="",J128=""),"",IF(I128&gt;0,J128*(I128/100),J128*(100/(-I128))))</f>
        <v/>
      </c>
      <c r="M128" s="29">
        <f>IF(K128="Hit",L128,IF(K128="No Hit",-J128,""))</f>
        <v/>
      </c>
      <c r="N128" s="29">
        <f>IF(M128="","",SUM($M$2:M128))</f>
        <v/>
      </c>
      <c r="O128" s="25" t="n"/>
    </row>
    <row r="129">
      <c r="A129" s="24" t="n"/>
      <c r="B129" s="25" t="n"/>
      <c r="C129" s="25" t="n"/>
      <c r="D129" s="25" t="n"/>
      <c r="E129" s="26" t="n"/>
      <c r="F129" s="27" t="n"/>
      <c r="G129" s="27" t="n"/>
      <c r="H129" s="27" t="n"/>
      <c r="I129" s="27" t="n"/>
      <c r="J129" s="28" t="n"/>
      <c r="K129" s="27" t="n"/>
      <c r="L129" s="28">
        <f>IF(OR(I129="",J129=""),"",IF(I129&gt;0,J129*(I129/100),J129*(100/(-I129))))</f>
        <v/>
      </c>
      <c r="M129" s="29">
        <f>IF(K129="Hit",L129,IF(K129="No Hit",-J129,""))</f>
        <v/>
      </c>
      <c r="N129" s="29">
        <f>IF(M129="","",SUM($M$2:M129))</f>
        <v/>
      </c>
      <c r="O129" s="25" t="n"/>
    </row>
    <row r="130">
      <c r="A130" s="24" t="n"/>
      <c r="B130" s="25" t="n"/>
      <c r="C130" s="25" t="n"/>
      <c r="D130" s="25" t="n"/>
      <c r="E130" s="26" t="n"/>
      <c r="F130" s="27" t="n"/>
      <c r="G130" s="27" t="n"/>
      <c r="H130" s="27" t="n"/>
      <c r="I130" s="27" t="n"/>
      <c r="J130" s="28" t="n"/>
      <c r="K130" s="27" t="n"/>
      <c r="L130" s="28">
        <f>IF(OR(I130="",J130=""),"",IF(I130&gt;0,J130*(I130/100),J130*(100/(-I130))))</f>
        <v/>
      </c>
      <c r="M130" s="29">
        <f>IF(K130="Hit",L130,IF(K130="No Hit",-J130,""))</f>
        <v/>
      </c>
      <c r="N130" s="29">
        <f>IF(M130="","",SUM($M$2:M130))</f>
        <v/>
      </c>
      <c r="O130" s="25" t="n"/>
    </row>
    <row r="131">
      <c r="A131" s="24" t="n"/>
      <c r="B131" s="25" t="n"/>
      <c r="C131" s="25" t="n"/>
      <c r="D131" s="25" t="n"/>
      <c r="E131" s="26" t="n"/>
      <c r="F131" s="27" t="n"/>
      <c r="G131" s="27" t="n"/>
      <c r="H131" s="27" t="n"/>
      <c r="I131" s="27" t="n"/>
      <c r="J131" s="28" t="n"/>
      <c r="K131" s="27" t="n"/>
      <c r="L131" s="28">
        <f>IF(OR(I131="",J131=""),"",IF(I131&gt;0,J131*(I131/100),J131*(100/(-I131))))</f>
        <v/>
      </c>
      <c r="M131" s="29">
        <f>IF(K131="Hit",L131,IF(K131="No Hit",-J131,""))</f>
        <v/>
      </c>
      <c r="N131" s="29">
        <f>IF(M131="","",SUM($M$2:M131))</f>
        <v/>
      </c>
      <c r="O131" s="25" t="n"/>
    </row>
    <row r="132">
      <c r="A132" s="24" t="n"/>
      <c r="B132" s="25" t="n"/>
      <c r="C132" s="25" t="n"/>
      <c r="D132" s="25" t="n"/>
      <c r="E132" s="26" t="n"/>
      <c r="F132" s="27" t="n"/>
      <c r="G132" s="27" t="n"/>
      <c r="H132" s="27" t="n"/>
      <c r="I132" s="27" t="n"/>
      <c r="J132" s="28" t="n"/>
      <c r="K132" s="27" t="n"/>
      <c r="L132" s="28">
        <f>IF(OR(I132="",J132=""),"",IF(I132&gt;0,J132*(I132/100),J132*(100/(-I132))))</f>
        <v/>
      </c>
      <c r="M132" s="29">
        <f>IF(K132="Hit",L132,IF(K132="No Hit",-J132,""))</f>
        <v/>
      </c>
      <c r="N132" s="29">
        <f>IF(M132="","",SUM($M$2:M132))</f>
        <v/>
      </c>
      <c r="O132" s="25" t="n"/>
    </row>
    <row r="133">
      <c r="A133" s="24" t="n"/>
      <c r="B133" s="25" t="n"/>
      <c r="C133" s="25" t="n"/>
      <c r="D133" s="25" t="n"/>
      <c r="E133" s="26" t="n"/>
      <c r="F133" s="27" t="n"/>
      <c r="G133" s="27" t="n"/>
      <c r="H133" s="27" t="n"/>
      <c r="I133" s="27" t="n"/>
      <c r="J133" s="28" t="n"/>
      <c r="K133" s="27" t="n"/>
      <c r="L133" s="28">
        <f>IF(OR(I133="",J133=""),"",IF(I133&gt;0,J133*(I133/100),J133*(100/(-I133))))</f>
        <v/>
      </c>
      <c r="M133" s="29">
        <f>IF(K133="Hit",L133,IF(K133="No Hit",-J133,""))</f>
        <v/>
      </c>
      <c r="N133" s="29">
        <f>IF(M133="","",SUM($M$2:M133))</f>
        <v/>
      </c>
      <c r="O133" s="25" t="n"/>
    </row>
    <row r="134">
      <c r="A134" s="24" t="n"/>
      <c r="B134" s="25" t="n"/>
      <c r="C134" s="25" t="n"/>
      <c r="D134" s="25" t="n"/>
      <c r="E134" s="26" t="n"/>
      <c r="F134" s="27" t="n"/>
      <c r="G134" s="27" t="n"/>
      <c r="H134" s="27" t="n"/>
      <c r="I134" s="27" t="n"/>
      <c r="J134" s="28" t="n"/>
      <c r="K134" s="27" t="n"/>
      <c r="L134" s="28">
        <f>IF(OR(I134="",J134=""),"",IF(I134&gt;0,J134*(I134/100),J134*(100/(-I134))))</f>
        <v/>
      </c>
      <c r="M134" s="29">
        <f>IF(K134="Hit",L134,IF(K134="No Hit",-J134,""))</f>
        <v/>
      </c>
      <c r="N134" s="29">
        <f>IF(M134="","",SUM($M$2:M134))</f>
        <v/>
      </c>
      <c r="O134" s="25" t="n"/>
    </row>
    <row r="135">
      <c r="A135" s="24" t="n"/>
      <c r="B135" s="25" t="n"/>
      <c r="C135" s="25" t="n"/>
      <c r="D135" s="25" t="n"/>
      <c r="E135" s="26" t="n"/>
      <c r="F135" s="27" t="n"/>
      <c r="G135" s="27" t="n"/>
      <c r="H135" s="27" t="n"/>
      <c r="I135" s="27" t="n"/>
      <c r="J135" s="28" t="n"/>
      <c r="K135" s="27" t="n"/>
      <c r="L135" s="28">
        <f>IF(OR(I135="",J135=""),"",IF(I135&gt;0,J135*(I135/100),J135*(100/(-I135))))</f>
        <v/>
      </c>
      <c r="M135" s="29">
        <f>IF(K135="Hit",L135,IF(K135="No Hit",-J135,""))</f>
        <v/>
      </c>
      <c r="N135" s="29">
        <f>IF(M135="","",SUM($M$2:M135))</f>
        <v/>
      </c>
      <c r="O135" s="25" t="n"/>
    </row>
    <row r="136">
      <c r="A136" s="24" t="n"/>
      <c r="B136" s="25" t="n"/>
      <c r="C136" s="25" t="n"/>
      <c r="D136" s="25" t="n"/>
      <c r="E136" s="26" t="n"/>
      <c r="F136" s="27" t="n"/>
      <c r="G136" s="27" t="n"/>
      <c r="H136" s="27" t="n"/>
      <c r="I136" s="27" t="n"/>
      <c r="J136" s="28" t="n"/>
      <c r="K136" s="27" t="n"/>
      <c r="L136" s="28">
        <f>IF(OR(I136="",J136=""),"",IF(I136&gt;0,J136*(I136/100),J136*(100/(-I136))))</f>
        <v/>
      </c>
      <c r="M136" s="29">
        <f>IF(K136="Hit",L136,IF(K136="No Hit",-J136,""))</f>
        <v/>
      </c>
      <c r="N136" s="29">
        <f>IF(M136="","",SUM($M$2:M136))</f>
        <v/>
      </c>
      <c r="O136" s="25" t="n"/>
    </row>
    <row r="137">
      <c r="A137" s="24" t="n"/>
      <c r="B137" s="25" t="n"/>
      <c r="C137" s="25" t="n"/>
      <c r="D137" s="25" t="n"/>
      <c r="E137" s="26" t="n"/>
      <c r="F137" s="27" t="n"/>
      <c r="G137" s="27" t="n"/>
      <c r="H137" s="27" t="n"/>
      <c r="I137" s="27" t="n"/>
      <c r="J137" s="28" t="n"/>
      <c r="K137" s="27" t="n"/>
      <c r="L137" s="28">
        <f>IF(OR(I137="",J137=""),"",IF(I137&gt;0,J137*(I137/100),J137*(100/(-I137))))</f>
        <v/>
      </c>
      <c r="M137" s="29">
        <f>IF(K137="Hit",L137,IF(K137="No Hit",-J137,""))</f>
        <v/>
      </c>
      <c r="N137" s="29">
        <f>IF(M137="","",SUM($M$2:M137))</f>
        <v/>
      </c>
      <c r="O137" s="25" t="n"/>
    </row>
    <row r="138">
      <c r="A138" s="24" t="n"/>
      <c r="B138" s="25" t="n"/>
      <c r="C138" s="25" t="n"/>
      <c r="D138" s="25" t="n"/>
      <c r="E138" s="26" t="n"/>
      <c r="F138" s="27" t="n"/>
      <c r="G138" s="27" t="n"/>
      <c r="H138" s="27" t="n"/>
      <c r="I138" s="27" t="n"/>
      <c r="J138" s="28" t="n"/>
      <c r="K138" s="27" t="n"/>
      <c r="L138" s="28">
        <f>IF(OR(I138="",J138=""),"",IF(I138&gt;0,J138*(I138/100),J138*(100/(-I138))))</f>
        <v/>
      </c>
      <c r="M138" s="29">
        <f>IF(K138="Hit",L138,IF(K138="No Hit",-J138,""))</f>
        <v/>
      </c>
      <c r="N138" s="29">
        <f>IF(M138="","",SUM($M$2:M138))</f>
        <v/>
      </c>
      <c r="O138" s="25" t="n"/>
    </row>
    <row r="139">
      <c r="A139" s="24" t="n"/>
      <c r="B139" s="25" t="n"/>
      <c r="C139" s="25" t="n"/>
      <c r="D139" s="25" t="n"/>
      <c r="E139" s="26" t="n"/>
      <c r="F139" s="27" t="n"/>
      <c r="G139" s="27" t="n"/>
      <c r="H139" s="27" t="n"/>
      <c r="I139" s="27" t="n"/>
      <c r="J139" s="28" t="n"/>
      <c r="K139" s="27" t="n"/>
      <c r="L139" s="28">
        <f>IF(OR(I139="",J139=""),"",IF(I139&gt;0,J139*(I139/100),J139*(100/(-I139))))</f>
        <v/>
      </c>
      <c r="M139" s="29">
        <f>IF(K139="Hit",L139,IF(K139="No Hit",-J139,""))</f>
        <v/>
      </c>
      <c r="N139" s="29">
        <f>IF(M139="","",SUM($M$2:M139))</f>
        <v/>
      </c>
      <c r="O139" s="25" t="n"/>
    </row>
    <row r="140">
      <c r="A140" s="24" t="n"/>
      <c r="B140" s="25" t="n"/>
      <c r="C140" s="25" t="n"/>
      <c r="D140" s="25" t="n"/>
      <c r="E140" s="26" t="n"/>
      <c r="F140" s="27" t="n"/>
      <c r="G140" s="27" t="n"/>
      <c r="H140" s="27" t="n"/>
      <c r="I140" s="27" t="n"/>
      <c r="J140" s="28" t="n"/>
      <c r="K140" s="27" t="n"/>
      <c r="L140" s="28">
        <f>IF(OR(I140="",J140=""),"",IF(I140&gt;0,J140*(I140/100),J140*(100/(-I140))))</f>
        <v/>
      </c>
      <c r="M140" s="29">
        <f>IF(K140="Hit",L140,IF(K140="No Hit",-J140,""))</f>
        <v/>
      </c>
      <c r="N140" s="29">
        <f>IF(M140="","",SUM($M$2:M140))</f>
        <v/>
      </c>
      <c r="O140" s="25" t="n"/>
    </row>
    <row r="141">
      <c r="A141" s="24" t="n"/>
      <c r="B141" s="25" t="n"/>
      <c r="C141" s="25" t="n"/>
      <c r="D141" s="25" t="n"/>
      <c r="E141" s="26" t="n"/>
      <c r="F141" s="27" t="n"/>
      <c r="G141" s="27" t="n"/>
      <c r="H141" s="27" t="n"/>
      <c r="I141" s="27" t="n"/>
      <c r="J141" s="28" t="n"/>
      <c r="K141" s="27" t="n"/>
      <c r="L141" s="28">
        <f>IF(OR(I141="",J141=""),"",IF(I141&gt;0,J141*(I141/100),J141*(100/(-I141))))</f>
        <v/>
      </c>
      <c r="M141" s="29">
        <f>IF(K141="Hit",L141,IF(K141="No Hit",-J141,""))</f>
        <v/>
      </c>
      <c r="N141" s="29">
        <f>IF(M141="","",SUM($M$2:M141))</f>
        <v/>
      </c>
      <c r="O141" s="25" t="n"/>
    </row>
    <row r="142">
      <c r="A142" s="24" t="n"/>
      <c r="B142" s="25" t="n"/>
      <c r="C142" s="25" t="n"/>
      <c r="D142" s="25" t="n"/>
      <c r="E142" s="26" t="n"/>
      <c r="F142" s="27" t="n"/>
      <c r="G142" s="27" t="n"/>
      <c r="H142" s="27" t="n"/>
      <c r="I142" s="27" t="n"/>
      <c r="J142" s="28" t="n"/>
      <c r="K142" s="27" t="n"/>
      <c r="L142" s="28">
        <f>IF(OR(I142="",J142=""),"",IF(I142&gt;0,J142*(I142/100),J142*(100/(-I142))))</f>
        <v/>
      </c>
      <c r="M142" s="29">
        <f>IF(K142="Hit",L142,IF(K142="No Hit",-J142,""))</f>
        <v/>
      </c>
      <c r="N142" s="29">
        <f>IF(M142="","",SUM($M$2:M142))</f>
        <v/>
      </c>
      <c r="O142" s="25" t="n"/>
    </row>
    <row r="143">
      <c r="A143" s="24" t="n"/>
      <c r="B143" s="25" t="n"/>
      <c r="C143" s="25" t="n"/>
      <c r="D143" s="25" t="n"/>
      <c r="E143" s="26" t="n"/>
      <c r="F143" s="27" t="n"/>
      <c r="G143" s="27" t="n"/>
      <c r="H143" s="27" t="n"/>
      <c r="I143" s="27" t="n"/>
      <c r="J143" s="28" t="n"/>
      <c r="K143" s="27" t="n"/>
      <c r="L143" s="28">
        <f>IF(OR(I143="",J143=""),"",IF(I143&gt;0,J143*(I143/100),J143*(100/(-I143))))</f>
        <v/>
      </c>
      <c r="M143" s="29">
        <f>IF(K143="Hit",L143,IF(K143="No Hit",-J143,""))</f>
        <v/>
      </c>
      <c r="N143" s="29">
        <f>IF(M143="","",SUM($M$2:M143))</f>
        <v/>
      </c>
      <c r="O143" s="25" t="n"/>
    </row>
    <row r="144">
      <c r="A144" s="24" t="n"/>
      <c r="B144" s="25" t="n"/>
      <c r="C144" s="25" t="n"/>
      <c r="D144" s="25" t="n"/>
      <c r="E144" s="26" t="n"/>
      <c r="F144" s="27" t="n"/>
      <c r="G144" s="27" t="n"/>
      <c r="H144" s="27" t="n"/>
      <c r="I144" s="27" t="n"/>
      <c r="J144" s="28" t="n"/>
      <c r="K144" s="27" t="n"/>
      <c r="L144" s="28">
        <f>IF(OR(I144="",J144=""),"",IF(I144&gt;0,J144*(I144/100),J144*(100/(-I144))))</f>
        <v/>
      </c>
      <c r="M144" s="29">
        <f>IF(K144="Hit",L144,IF(K144="No Hit",-J144,""))</f>
        <v/>
      </c>
      <c r="N144" s="29">
        <f>IF(M144="","",SUM($M$2:M144))</f>
        <v/>
      </c>
      <c r="O144" s="25" t="n"/>
    </row>
    <row r="145">
      <c r="A145" s="24" t="n"/>
      <c r="B145" s="25" t="n"/>
      <c r="C145" s="25" t="n"/>
      <c r="D145" s="25" t="n"/>
      <c r="E145" s="26" t="n"/>
      <c r="F145" s="27" t="n"/>
      <c r="G145" s="27" t="n"/>
      <c r="H145" s="27" t="n"/>
      <c r="I145" s="27" t="n"/>
      <c r="J145" s="28" t="n"/>
      <c r="K145" s="27" t="n"/>
      <c r="L145" s="28">
        <f>IF(OR(I145="",J145=""),"",IF(I145&gt;0,J145*(I145/100),J145*(100/(-I145))))</f>
        <v/>
      </c>
      <c r="M145" s="29">
        <f>IF(K145="Hit",L145,IF(K145="No Hit",-J145,""))</f>
        <v/>
      </c>
      <c r="N145" s="29">
        <f>IF(M145="","",SUM($M$2:M145))</f>
        <v/>
      </c>
      <c r="O145" s="25" t="n"/>
    </row>
    <row r="146">
      <c r="A146" s="24" t="n"/>
      <c r="B146" s="25" t="n"/>
      <c r="C146" s="25" t="n"/>
      <c r="D146" s="25" t="n"/>
      <c r="E146" s="26" t="n"/>
      <c r="F146" s="27" t="n"/>
      <c r="G146" s="27" t="n"/>
      <c r="H146" s="27" t="n"/>
      <c r="I146" s="27" t="n"/>
      <c r="J146" s="28" t="n"/>
      <c r="K146" s="27" t="n"/>
      <c r="L146" s="28">
        <f>IF(OR(I146="",J146=""),"",IF(I146&gt;0,J146*(I146/100),J146*(100/(-I146))))</f>
        <v/>
      </c>
      <c r="M146" s="29">
        <f>IF(K146="Hit",L146,IF(K146="No Hit",-J146,""))</f>
        <v/>
      </c>
      <c r="N146" s="29">
        <f>IF(M146="","",SUM($M$2:M146))</f>
        <v/>
      </c>
      <c r="O146" s="25" t="n"/>
    </row>
    <row r="147">
      <c r="A147" s="24" t="n"/>
      <c r="B147" s="25" t="n"/>
      <c r="C147" s="25" t="n"/>
      <c r="D147" s="25" t="n"/>
      <c r="E147" s="26" t="n"/>
      <c r="F147" s="27" t="n"/>
      <c r="G147" s="27" t="n"/>
      <c r="H147" s="27" t="n"/>
      <c r="I147" s="27" t="n"/>
      <c r="J147" s="28" t="n"/>
      <c r="K147" s="27" t="n"/>
      <c r="L147" s="28">
        <f>IF(OR(I147="",J147=""),"",IF(I147&gt;0,J147*(I147/100),J147*(100/(-I147))))</f>
        <v/>
      </c>
      <c r="M147" s="29">
        <f>IF(K147="Hit",L147,IF(K147="No Hit",-J147,""))</f>
        <v/>
      </c>
      <c r="N147" s="29">
        <f>IF(M147="","",SUM($M$2:M147))</f>
        <v/>
      </c>
      <c r="O147" s="25" t="n"/>
    </row>
    <row r="148">
      <c r="A148" s="24" t="n"/>
      <c r="B148" s="25" t="n"/>
      <c r="C148" s="25" t="n"/>
      <c r="D148" s="25" t="n"/>
      <c r="E148" s="26" t="n"/>
      <c r="F148" s="27" t="n"/>
      <c r="G148" s="27" t="n"/>
      <c r="H148" s="27" t="n"/>
      <c r="I148" s="27" t="n"/>
      <c r="J148" s="28" t="n"/>
      <c r="K148" s="27" t="n"/>
      <c r="L148" s="28">
        <f>IF(OR(I148="",J148=""),"",IF(I148&gt;0,J148*(I148/100),J148*(100/(-I148))))</f>
        <v/>
      </c>
      <c r="M148" s="29">
        <f>IF(K148="Hit",L148,IF(K148="No Hit",-J148,""))</f>
        <v/>
      </c>
      <c r="N148" s="29">
        <f>IF(M148="","",SUM($M$2:M148))</f>
        <v/>
      </c>
      <c r="O148" s="25" t="n"/>
    </row>
    <row r="149">
      <c r="A149" s="24" t="n"/>
      <c r="B149" s="25" t="n"/>
      <c r="C149" s="25" t="n"/>
      <c r="D149" s="25" t="n"/>
      <c r="E149" s="26" t="n"/>
      <c r="F149" s="27" t="n"/>
      <c r="G149" s="27" t="n"/>
      <c r="H149" s="27" t="n"/>
      <c r="I149" s="27" t="n"/>
      <c r="J149" s="28" t="n"/>
      <c r="K149" s="27" t="n"/>
      <c r="L149" s="28">
        <f>IF(OR(I149="",J149=""),"",IF(I149&gt;0,J149*(I149/100),J149*(100/(-I149))))</f>
        <v/>
      </c>
      <c r="M149" s="29">
        <f>IF(K149="Hit",L149,IF(K149="No Hit",-J149,""))</f>
        <v/>
      </c>
      <c r="N149" s="29">
        <f>IF(M149="","",SUM($M$2:M149))</f>
        <v/>
      </c>
      <c r="O149" s="25" t="n"/>
    </row>
    <row r="150">
      <c r="A150" s="24" t="n"/>
      <c r="B150" s="25" t="n"/>
      <c r="C150" s="25" t="n"/>
      <c r="D150" s="25" t="n"/>
      <c r="E150" s="26" t="n"/>
      <c r="F150" s="27" t="n"/>
      <c r="G150" s="27" t="n"/>
      <c r="H150" s="27" t="n"/>
      <c r="I150" s="27" t="n"/>
      <c r="J150" s="28" t="n"/>
      <c r="K150" s="27" t="n"/>
      <c r="L150" s="28">
        <f>IF(OR(I150="",J150=""),"",IF(I150&gt;0,J150*(I150/100),J150*(100/(-I150))))</f>
        <v/>
      </c>
      <c r="M150" s="29">
        <f>IF(K150="Hit",L150,IF(K150="No Hit",-J150,""))</f>
        <v/>
      </c>
      <c r="N150" s="29">
        <f>IF(M150="","",SUM($M$2:M150))</f>
        <v/>
      </c>
      <c r="O150" s="25" t="n"/>
    </row>
    <row r="151">
      <c r="A151" s="24" t="n"/>
      <c r="B151" s="25" t="n"/>
      <c r="C151" s="25" t="n"/>
      <c r="D151" s="25" t="n"/>
      <c r="E151" s="26" t="n"/>
      <c r="F151" s="27" t="n"/>
      <c r="G151" s="27" t="n"/>
      <c r="H151" s="27" t="n"/>
      <c r="I151" s="27" t="n"/>
      <c r="J151" s="28" t="n"/>
      <c r="K151" s="27" t="n"/>
      <c r="L151" s="28">
        <f>IF(OR(I151="",J151=""),"",IF(I151&gt;0,J151*(I151/100),J151*(100/(-I151))))</f>
        <v/>
      </c>
      <c r="M151" s="29">
        <f>IF(K151="Hit",L151,IF(K151="No Hit",-J151,""))</f>
        <v/>
      </c>
      <c r="N151" s="29">
        <f>IF(M151="","",SUM($M$2:M151))</f>
        <v/>
      </c>
      <c r="O151" s="25" t="n"/>
    </row>
    <row r="152">
      <c r="A152" s="24" t="n"/>
      <c r="B152" s="25" t="n"/>
      <c r="C152" s="25" t="n"/>
      <c r="D152" s="25" t="n"/>
      <c r="E152" s="26" t="n"/>
      <c r="F152" s="27" t="n"/>
      <c r="G152" s="27" t="n"/>
      <c r="H152" s="27" t="n"/>
      <c r="I152" s="27" t="n"/>
      <c r="J152" s="28" t="n"/>
      <c r="K152" s="27" t="n"/>
      <c r="L152" s="28">
        <f>IF(OR(I152="",J152=""),"",IF(I152&gt;0,J152*(I152/100),J152*(100/(-I152))))</f>
        <v/>
      </c>
      <c r="M152" s="29">
        <f>IF(K152="Hit",L152,IF(K152="No Hit",-J152,""))</f>
        <v/>
      </c>
      <c r="N152" s="29">
        <f>IF(M152="","",SUM($M$2:M152))</f>
        <v/>
      </c>
      <c r="O152" s="25" t="n"/>
    </row>
    <row r="153">
      <c r="A153" s="24" t="n"/>
      <c r="B153" s="25" t="n"/>
      <c r="C153" s="25" t="n"/>
      <c r="D153" s="25" t="n"/>
      <c r="E153" s="26" t="n"/>
      <c r="F153" s="27" t="n"/>
      <c r="G153" s="27" t="n"/>
      <c r="H153" s="27" t="n"/>
      <c r="I153" s="27" t="n"/>
      <c r="J153" s="28" t="n"/>
      <c r="K153" s="27" t="n"/>
      <c r="L153" s="28">
        <f>IF(OR(I153="",J153=""),"",IF(I153&gt;0,J153*(I153/100),J153*(100/(-I153))))</f>
        <v/>
      </c>
      <c r="M153" s="29">
        <f>IF(K153="Hit",L153,IF(K153="No Hit",-J153,""))</f>
        <v/>
      </c>
      <c r="N153" s="29">
        <f>IF(M153="","",SUM($M$2:M153))</f>
        <v/>
      </c>
      <c r="O153" s="25" t="n"/>
    </row>
    <row r="154">
      <c r="A154" s="24" t="n"/>
      <c r="B154" s="25" t="n"/>
      <c r="C154" s="25" t="n"/>
      <c r="D154" s="25" t="n"/>
      <c r="E154" s="26" t="n"/>
      <c r="F154" s="27" t="n"/>
      <c r="G154" s="27" t="n"/>
      <c r="H154" s="27" t="n"/>
      <c r="I154" s="27" t="n"/>
      <c r="J154" s="28" t="n"/>
      <c r="K154" s="27" t="n"/>
      <c r="L154" s="28">
        <f>IF(OR(I154="",J154=""),"",IF(I154&gt;0,J154*(I154/100),J154*(100/(-I154))))</f>
        <v/>
      </c>
      <c r="M154" s="29">
        <f>IF(K154="Hit",L154,IF(K154="No Hit",-J154,""))</f>
        <v/>
      </c>
      <c r="N154" s="29">
        <f>IF(M154="","",SUM($M$2:M154))</f>
        <v/>
      </c>
      <c r="O154" s="25" t="n"/>
    </row>
    <row r="155">
      <c r="A155" s="24" t="n"/>
      <c r="B155" s="25" t="n"/>
      <c r="C155" s="25" t="n"/>
      <c r="D155" s="25" t="n"/>
      <c r="E155" s="26" t="n"/>
      <c r="F155" s="27" t="n"/>
      <c r="G155" s="27" t="n"/>
      <c r="H155" s="27" t="n"/>
      <c r="I155" s="27" t="n"/>
      <c r="J155" s="28" t="n"/>
      <c r="K155" s="27" t="n"/>
      <c r="L155" s="28">
        <f>IF(OR(I155="",J155=""),"",IF(I155&gt;0,J155*(I155/100),J155*(100/(-I155))))</f>
        <v/>
      </c>
      <c r="M155" s="29">
        <f>IF(K155="Hit",L155,IF(K155="No Hit",-J155,""))</f>
        <v/>
      </c>
      <c r="N155" s="29">
        <f>IF(M155="","",SUM($M$2:M155))</f>
        <v/>
      </c>
      <c r="O155" s="25" t="n"/>
    </row>
    <row r="156">
      <c r="A156" s="24" t="n"/>
      <c r="B156" s="25" t="n"/>
      <c r="C156" s="25" t="n"/>
      <c r="D156" s="25" t="n"/>
      <c r="E156" s="26" t="n"/>
      <c r="F156" s="27" t="n"/>
      <c r="G156" s="27" t="n"/>
      <c r="H156" s="27" t="n"/>
      <c r="I156" s="27" t="n"/>
      <c r="J156" s="28" t="n"/>
      <c r="K156" s="27" t="n"/>
      <c r="L156" s="28">
        <f>IF(OR(I156="",J156=""),"",IF(I156&gt;0,J156*(I156/100),J156*(100/(-I156))))</f>
        <v/>
      </c>
      <c r="M156" s="29">
        <f>IF(K156="Hit",L156,IF(K156="No Hit",-J156,""))</f>
        <v/>
      </c>
      <c r="N156" s="29">
        <f>IF(M156="","",SUM($M$2:M156))</f>
        <v/>
      </c>
      <c r="O156" s="25" t="n"/>
    </row>
    <row r="157">
      <c r="A157" s="24" t="n"/>
      <c r="B157" s="25" t="n"/>
      <c r="C157" s="25" t="n"/>
      <c r="D157" s="25" t="n"/>
      <c r="E157" s="26" t="n"/>
      <c r="F157" s="27" t="n"/>
      <c r="G157" s="27" t="n"/>
      <c r="H157" s="27" t="n"/>
      <c r="I157" s="27" t="n"/>
      <c r="J157" s="28" t="n"/>
      <c r="K157" s="27" t="n"/>
      <c r="L157" s="28">
        <f>IF(OR(I157="",J157=""),"",IF(I157&gt;0,J157*(I157/100),J157*(100/(-I157))))</f>
        <v/>
      </c>
      <c r="M157" s="29">
        <f>IF(K157="Hit",L157,IF(K157="No Hit",-J157,""))</f>
        <v/>
      </c>
      <c r="N157" s="29">
        <f>IF(M157="","",SUM($M$2:M157))</f>
        <v/>
      </c>
      <c r="O157" s="25" t="n"/>
    </row>
    <row r="158">
      <c r="A158" s="24" t="n"/>
      <c r="B158" s="25" t="n"/>
      <c r="C158" s="25" t="n"/>
      <c r="D158" s="25" t="n"/>
      <c r="E158" s="26" t="n"/>
      <c r="F158" s="27" t="n"/>
      <c r="G158" s="27" t="n"/>
      <c r="H158" s="27" t="n"/>
      <c r="I158" s="27" t="n"/>
      <c r="J158" s="28" t="n"/>
      <c r="K158" s="27" t="n"/>
      <c r="L158" s="28">
        <f>IF(OR(I158="",J158=""),"",IF(I158&gt;0,J158*(I158/100),J158*(100/(-I158))))</f>
        <v/>
      </c>
      <c r="M158" s="29">
        <f>IF(K158="Hit",L158,IF(K158="No Hit",-J158,""))</f>
        <v/>
      </c>
      <c r="N158" s="29">
        <f>IF(M158="","",SUM($M$2:M158))</f>
        <v/>
      </c>
      <c r="O158" s="25" t="n"/>
    </row>
    <row r="159">
      <c r="A159" s="24" t="n"/>
      <c r="B159" s="25" t="n"/>
      <c r="C159" s="25" t="n"/>
      <c r="D159" s="25" t="n"/>
      <c r="E159" s="26" t="n"/>
      <c r="F159" s="27" t="n"/>
      <c r="G159" s="27" t="n"/>
      <c r="H159" s="27" t="n"/>
      <c r="I159" s="27" t="n"/>
      <c r="J159" s="28" t="n"/>
      <c r="K159" s="27" t="n"/>
      <c r="L159" s="28">
        <f>IF(OR(I159="",J159=""),"",IF(I159&gt;0,J159*(I159/100),J159*(100/(-I159))))</f>
        <v/>
      </c>
      <c r="M159" s="29">
        <f>IF(K159="Hit",L159,IF(K159="No Hit",-J159,""))</f>
        <v/>
      </c>
      <c r="N159" s="29">
        <f>IF(M159="","",SUM($M$2:M159))</f>
        <v/>
      </c>
      <c r="O159" s="25" t="n"/>
    </row>
    <row r="160">
      <c r="A160" s="24" t="n"/>
      <c r="B160" s="25" t="n"/>
      <c r="C160" s="25" t="n"/>
      <c r="D160" s="25" t="n"/>
      <c r="E160" s="26" t="n"/>
      <c r="F160" s="27" t="n"/>
      <c r="G160" s="27" t="n"/>
      <c r="H160" s="27" t="n"/>
      <c r="I160" s="27" t="n"/>
      <c r="J160" s="28" t="n"/>
      <c r="K160" s="27" t="n"/>
      <c r="L160" s="28">
        <f>IF(OR(I160="",J160=""),"",IF(I160&gt;0,J160*(I160/100),J160*(100/(-I160))))</f>
        <v/>
      </c>
      <c r="M160" s="29">
        <f>IF(K160="Hit",L160,IF(K160="No Hit",-J160,""))</f>
        <v/>
      </c>
      <c r="N160" s="29">
        <f>IF(M160="","",SUM($M$2:M160))</f>
        <v/>
      </c>
      <c r="O160" s="25" t="n"/>
    </row>
    <row r="161">
      <c r="A161" s="24" t="n"/>
      <c r="B161" s="25" t="n"/>
      <c r="C161" s="25" t="n"/>
      <c r="D161" s="25" t="n"/>
      <c r="E161" s="26" t="n"/>
      <c r="F161" s="27" t="n"/>
      <c r="G161" s="27" t="n"/>
      <c r="H161" s="27" t="n"/>
      <c r="I161" s="27" t="n"/>
      <c r="J161" s="28" t="n"/>
      <c r="K161" s="27" t="n"/>
      <c r="L161" s="28">
        <f>IF(OR(I161="",J161=""),"",IF(I161&gt;0,J161*(I161/100),J161*(100/(-I161))))</f>
        <v/>
      </c>
      <c r="M161" s="29">
        <f>IF(K161="Hit",L161,IF(K161="No Hit",-J161,""))</f>
        <v/>
      </c>
      <c r="N161" s="29">
        <f>IF(M161="","",SUM($M$2:M161))</f>
        <v/>
      </c>
      <c r="O161" s="25" t="n"/>
    </row>
    <row r="162">
      <c r="A162" s="24" t="n"/>
      <c r="B162" s="25" t="n"/>
      <c r="C162" s="25" t="n"/>
      <c r="D162" s="25" t="n"/>
      <c r="E162" s="26" t="n"/>
      <c r="F162" s="27" t="n"/>
      <c r="G162" s="27" t="n"/>
      <c r="H162" s="27" t="n"/>
      <c r="I162" s="27" t="n"/>
      <c r="J162" s="28" t="n"/>
      <c r="K162" s="27" t="n"/>
      <c r="L162" s="28">
        <f>IF(OR(I162="",J162=""),"",IF(I162&gt;0,J162*(I162/100),J162*(100/(-I162))))</f>
        <v/>
      </c>
      <c r="M162" s="29">
        <f>IF(K162="Hit",L162,IF(K162="No Hit",-J162,""))</f>
        <v/>
      </c>
      <c r="N162" s="29">
        <f>IF(M162="","",SUM($M$2:M162))</f>
        <v/>
      </c>
      <c r="O162" s="25" t="n"/>
    </row>
    <row r="163">
      <c r="A163" s="24" t="n"/>
      <c r="B163" s="25" t="n"/>
      <c r="C163" s="25" t="n"/>
      <c r="D163" s="25" t="n"/>
      <c r="E163" s="26" t="n"/>
      <c r="F163" s="27" t="n"/>
      <c r="G163" s="27" t="n"/>
      <c r="H163" s="27" t="n"/>
      <c r="I163" s="27" t="n"/>
      <c r="J163" s="28" t="n"/>
      <c r="K163" s="27" t="n"/>
      <c r="L163" s="28">
        <f>IF(OR(I163="",J163=""),"",IF(I163&gt;0,J163*(I163/100),J163*(100/(-I163))))</f>
        <v/>
      </c>
      <c r="M163" s="29">
        <f>IF(K163="Hit",L163,IF(K163="No Hit",-J163,""))</f>
        <v/>
      </c>
      <c r="N163" s="29">
        <f>IF(M163="","",SUM($M$2:M163))</f>
        <v/>
      </c>
      <c r="O163" s="25" t="n"/>
    </row>
    <row r="164">
      <c r="A164" s="24" t="n"/>
      <c r="B164" s="25" t="n"/>
      <c r="C164" s="25" t="n"/>
      <c r="D164" s="25" t="n"/>
      <c r="E164" s="26" t="n"/>
      <c r="F164" s="27" t="n"/>
      <c r="G164" s="27" t="n"/>
      <c r="H164" s="27" t="n"/>
      <c r="I164" s="27" t="n"/>
      <c r="J164" s="28" t="n"/>
      <c r="K164" s="27" t="n"/>
      <c r="L164" s="28">
        <f>IF(OR(I164="",J164=""),"",IF(I164&gt;0,J164*(I164/100),J164*(100/(-I164))))</f>
        <v/>
      </c>
      <c r="M164" s="29">
        <f>IF(K164="Hit",L164,IF(K164="No Hit",-J164,""))</f>
        <v/>
      </c>
      <c r="N164" s="29">
        <f>IF(M164="","",SUM($M$2:M164))</f>
        <v/>
      </c>
      <c r="O164" s="25" t="n"/>
    </row>
    <row r="165">
      <c r="A165" s="24" t="n"/>
      <c r="B165" s="25" t="n"/>
      <c r="C165" s="25" t="n"/>
      <c r="D165" s="25" t="n"/>
      <c r="E165" s="26" t="n"/>
      <c r="F165" s="27" t="n"/>
      <c r="G165" s="27" t="n"/>
      <c r="H165" s="27" t="n"/>
      <c r="I165" s="27" t="n"/>
      <c r="J165" s="28" t="n"/>
      <c r="K165" s="27" t="n"/>
      <c r="L165" s="28">
        <f>IF(OR(I165="",J165=""),"",IF(I165&gt;0,J165*(I165/100),J165*(100/(-I165))))</f>
        <v/>
      </c>
      <c r="M165" s="29">
        <f>IF(K165="Hit",L165,IF(K165="No Hit",-J165,""))</f>
        <v/>
      </c>
      <c r="N165" s="29">
        <f>IF(M165="","",SUM($M$2:M165))</f>
        <v/>
      </c>
      <c r="O165" s="25" t="n"/>
    </row>
    <row r="166">
      <c r="A166" s="24" t="n"/>
      <c r="B166" s="25" t="n"/>
      <c r="C166" s="25" t="n"/>
      <c r="D166" s="25" t="n"/>
      <c r="E166" s="26" t="n"/>
      <c r="F166" s="27" t="n"/>
      <c r="G166" s="27" t="n"/>
      <c r="H166" s="27" t="n"/>
      <c r="I166" s="27" t="n"/>
      <c r="J166" s="28" t="n"/>
      <c r="K166" s="27" t="n"/>
      <c r="L166" s="28">
        <f>IF(OR(I166="",J166=""),"",IF(I166&gt;0,J166*(I166/100),J166*(100/(-I166))))</f>
        <v/>
      </c>
      <c r="M166" s="29">
        <f>IF(K166="Hit",L166,IF(K166="No Hit",-J166,""))</f>
        <v/>
      </c>
      <c r="N166" s="29">
        <f>IF(M166="","",SUM($M$2:M166))</f>
        <v/>
      </c>
      <c r="O166" s="25" t="n"/>
    </row>
    <row r="167">
      <c r="A167" s="24" t="n"/>
      <c r="B167" s="25" t="n"/>
      <c r="C167" s="25" t="n"/>
      <c r="D167" s="25" t="n"/>
      <c r="E167" s="26" t="n"/>
      <c r="F167" s="27" t="n"/>
      <c r="G167" s="27" t="n"/>
      <c r="H167" s="27" t="n"/>
      <c r="I167" s="27" t="n"/>
      <c r="J167" s="28" t="n"/>
      <c r="K167" s="27" t="n"/>
      <c r="L167" s="28">
        <f>IF(OR(I167="",J167=""),"",IF(I167&gt;0,J167*(I167/100),J167*(100/(-I167))))</f>
        <v/>
      </c>
      <c r="M167" s="29">
        <f>IF(K167="Hit",L167,IF(K167="No Hit",-J167,""))</f>
        <v/>
      </c>
      <c r="N167" s="29">
        <f>IF(M167="","",SUM($M$2:M167))</f>
        <v/>
      </c>
      <c r="O167" s="25" t="n"/>
    </row>
    <row r="168">
      <c r="A168" s="24" t="n"/>
      <c r="B168" s="25" t="n"/>
      <c r="C168" s="25" t="n"/>
      <c r="D168" s="25" t="n"/>
      <c r="E168" s="26" t="n"/>
      <c r="F168" s="27" t="n"/>
      <c r="G168" s="27" t="n"/>
      <c r="H168" s="27" t="n"/>
      <c r="I168" s="27" t="n"/>
      <c r="J168" s="28" t="n"/>
      <c r="K168" s="27" t="n"/>
      <c r="L168" s="28">
        <f>IF(OR(I168="",J168=""),"",IF(I168&gt;0,J168*(I168/100),J168*(100/(-I168))))</f>
        <v/>
      </c>
      <c r="M168" s="29">
        <f>IF(K168="Hit",L168,IF(K168="No Hit",-J168,""))</f>
        <v/>
      </c>
      <c r="N168" s="29">
        <f>IF(M168="","",SUM($M$2:M168))</f>
        <v/>
      </c>
      <c r="O168" s="25" t="n"/>
    </row>
    <row r="169">
      <c r="A169" s="24" t="n"/>
      <c r="B169" s="25" t="n"/>
      <c r="C169" s="25" t="n"/>
      <c r="D169" s="25" t="n"/>
      <c r="E169" s="26" t="n"/>
      <c r="F169" s="27" t="n"/>
      <c r="G169" s="27" t="n"/>
      <c r="H169" s="27" t="n"/>
      <c r="I169" s="27" t="n"/>
      <c r="J169" s="28" t="n"/>
      <c r="K169" s="27" t="n"/>
      <c r="L169" s="28">
        <f>IF(OR(I169="",J169=""),"",IF(I169&gt;0,J169*(I169/100),J169*(100/(-I169))))</f>
        <v/>
      </c>
      <c r="M169" s="29">
        <f>IF(K169="Hit",L169,IF(K169="No Hit",-J169,""))</f>
        <v/>
      </c>
      <c r="N169" s="29">
        <f>IF(M169="","",SUM($M$2:M169))</f>
        <v/>
      </c>
      <c r="O169" s="25" t="n"/>
    </row>
    <row r="170">
      <c r="A170" s="24" t="n"/>
      <c r="B170" s="25" t="n"/>
      <c r="C170" s="25" t="n"/>
      <c r="D170" s="25" t="n"/>
      <c r="E170" s="26" t="n"/>
      <c r="F170" s="27" t="n"/>
      <c r="G170" s="27" t="n"/>
      <c r="H170" s="27" t="n"/>
      <c r="I170" s="27" t="n"/>
      <c r="J170" s="28" t="n"/>
      <c r="K170" s="27" t="n"/>
      <c r="L170" s="28">
        <f>IF(OR(I170="",J170=""),"",IF(I170&gt;0,J170*(I170/100),J170*(100/(-I170))))</f>
        <v/>
      </c>
      <c r="M170" s="29">
        <f>IF(K170="Hit",L170,IF(K170="No Hit",-J170,""))</f>
        <v/>
      </c>
      <c r="N170" s="29">
        <f>IF(M170="","",SUM($M$2:M170))</f>
        <v/>
      </c>
      <c r="O170" s="25" t="n"/>
    </row>
    <row r="171">
      <c r="A171" s="24" t="n"/>
      <c r="B171" s="25" t="n"/>
      <c r="C171" s="25" t="n"/>
      <c r="D171" s="25" t="n"/>
      <c r="E171" s="26" t="n"/>
      <c r="F171" s="27" t="n"/>
      <c r="G171" s="27" t="n"/>
      <c r="H171" s="27" t="n"/>
      <c r="I171" s="27" t="n"/>
      <c r="J171" s="28" t="n"/>
      <c r="K171" s="27" t="n"/>
      <c r="L171" s="28">
        <f>IF(OR(I171="",J171=""),"",IF(I171&gt;0,J171*(I171/100),J171*(100/(-I171))))</f>
        <v/>
      </c>
      <c r="M171" s="29">
        <f>IF(K171="Hit",L171,IF(K171="No Hit",-J171,""))</f>
        <v/>
      </c>
      <c r="N171" s="29">
        <f>IF(M171="","",SUM($M$2:M171))</f>
        <v/>
      </c>
      <c r="O171" s="25" t="n"/>
    </row>
    <row r="172">
      <c r="A172" s="24" t="n"/>
      <c r="B172" s="25" t="n"/>
      <c r="C172" s="25" t="n"/>
      <c r="D172" s="25" t="n"/>
      <c r="E172" s="26" t="n"/>
      <c r="F172" s="27" t="n"/>
      <c r="G172" s="27" t="n"/>
      <c r="H172" s="27" t="n"/>
      <c r="I172" s="27" t="n"/>
      <c r="J172" s="28" t="n"/>
      <c r="K172" s="27" t="n"/>
      <c r="L172" s="28">
        <f>IF(OR(I172="",J172=""),"",IF(I172&gt;0,J172*(I172/100),J172*(100/(-I172))))</f>
        <v/>
      </c>
      <c r="M172" s="29">
        <f>IF(K172="Hit",L172,IF(K172="No Hit",-J172,""))</f>
        <v/>
      </c>
      <c r="N172" s="29">
        <f>IF(M172="","",SUM($M$2:M172))</f>
        <v/>
      </c>
      <c r="O172" s="25" t="n"/>
    </row>
    <row r="173">
      <c r="A173" s="24" t="n"/>
      <c r="B173" s="25" t="n"/>
      <c r="C173" s="25" t="n"/>
      <c r="D173" s="25" t="n"/>
      <c r="E173" s="26" t="n"/>
      <c r="F173" s="27" t="n"/>
      <c r="G173" s="27" t="n"/>
      <c r="H173" s="27" t="n"/>
      <c r="I173" s="27" t="n"/>
      <c r="J173" s="28" t="n"/>
      <c r="K173" s="27" t="n"/>
      <c r="L173" s="28">
        <f>IF(OR(I173="",J173=""),"",IF(I173&gt;0,J173*(I173/100),J173*(100/(-I173))))</f>
        <v/>
      </c>
      <c r="M173" s="29">
        <f>IF(K173="Hit",L173,IF(K173="No Hit",-J173,""))</f>
        <v/>
      </c>
      <c r="N173" s="29">
        <f>IF(M173="","",SUM($M$2:M173))</f>
        <v/>
      </c>
      <c r="O173" s="25" t="n"/>
    </row>
    <row r="174">
      <c r="A174" s="24" t="n"/>
      <c r="B174" s="25" t="n"/>
      <c r="C174" s="25" t="n"/>
      <c r="D174" s="25" t="n"/>
      <c r="E174" s="26" t="n"/>
      <c r="F174" s="27" t="n"/>
      <c r="G174" s="27" t="n"/>
      <c r="H174" s="27" t="n"/>
      <c r="I174" s="27" t="n"/>
      <c r="J174" s="28" t="n"/>
      <c r="K174" s="27" t="n"/>
      <c r="L174" s="28">
        <f>IF(OR(I174="",J174=""),"",IF(I174&gt;0,J174*(I174/100),J174*(100/(-I174))))</f>
        <v/>
      </c>
      <c r="M174" s="29">
        <f>IF(K174="Hit",L174,IF(K174="No Hit",-J174,""))</f>
        <v/>
      </c>
      <c r="N174" s="29">
        <f>IF(M174="","",SUM($M$2:M174))</f>
        <v/>
      </c>
      <c r="O174" s="25" t="n"/>
    </row>
    <row r="175">
      <c r="A175" s="24" t="n"/>
      <c r="B175" s="25" t="n"/>
      <c r="C175" s="25" t="n"/>
      <c r="D175" s="25" t="n"/>
      <c r="E175" s="26" t="n"/>
      <c r="F175" s="27" t="n"/>
      <c r="G175" s="27" t="n"/>
      <c r="H175" s="27" t="n"/>
      <c r="I175" s="27" t="n"/>
      <c r="J175" s="28" t="n"/>
      <c r="K175" s="27" t="n"/>
      <c r="L175" s="28">
        <f>IF(OR(I175="",J175=""),"",IF(I175&gt;0,J175*(I175/100),J175*(100/(-I175))))</f>
        <v/>
      </c>
      <c r="M175" s="29">
        <f>IF(K175="Hit",L175,IF(K175="No Hit",-J175,""))</f>
        <v/>
      </c>
      <c r="N175" s="29">
        <f>IF(M175="","",SUM($M$2:M175))</f>
        <v/>
      </c>
      <c r="O175" s="25" t="n"/>
    </row>
    <row r="176">
      <c r="A176" s="24" t="n"/>
      <c r="B176" s="25" t="n"/>
      <c r="C176" s="25" t="n"/>
      <c r="D176" s="25" t="n"/>
      <c r="E176" s="26" t="n"/>
      <c r="F176" s="27" t="n"/>
      <c r="G176" s="27" t="n"/>
      <c r="H176" s="27" t="n"/>
      <c r="I176" s="27" t="n"/>
      <c r="J176" s="28" t="n"/>
      <c r="K176" s="27" t="n"/>
      <c r="L176" s="28">
        <f>IF(OR(I176="",J176=""),"",IF(I176&gt;0,J176*(I176/100),J176*(100/(-I176))))</f>
        <v/>
      </c>
      <c r="M176" s="29">
        <f>IF(K176="Hit",L176,IF(K176="No Hit",-J176,""))</f>
        <v/>
      </c>
      <c r="N176" s="29">
        <f>IF(M176="","",SUM($M$2:M176))</f>
        <v/>
      </c>
      <c r="O176" s="25" t="n"/>
    </row>
    <row r="177">
      <c r="A177" s="24" t="n"/>
      <c r="B177" s="25" t="n"/>
      <c r="C177" s="25" t="n"/>
      <c r="D177" s="25" t="n"/>
      <c r="E177" s="26" t="n"/>
      <c r="F177" s="27" t="n"/>
      <c r="G177" s="27" t="n"/>
      <c r="H177" s="27" t="n"/>
      <c r="I177" s="27" t="n"/>
      <c r="J177" s="28" t="n"/>
      <c r="K177" s="27" t="n"/>
      <c r="L177" s="28">
        <f>IF(OR(I177="",J177=""),"",IF(I177&gt;0,J177*(I177/100),J177*(100/(-I177))))</f>
        <v/>
      </c>
      <c r="M177" s="29">
        <f>IF(K177="Hit",L177,IF(K177="No Hit",-J177,""))</f>
        <v/>
      </c>
      <c r="N177" s="29">
        <f>IF(M177="","",SUM($M$2:M177))</f>
        <v/>
      </c>
      <c r="O177" s="25" t="n"/>
    </row>
    <row r="178">
      <c r="A178" s="24" t="n"/>
      <c r="B178" s="25" t="n"/>
      <c r="C178" s="25" t="n"/>
      <c r="D178" s="25" t="n"/>
      <c r="E178" s="26" t="n"/>
      <c r="F178" s="27" t="n"/>
      <c r="G178" s="27" t="n"/>
      <c r="H178" s="27" t="n"/>
      <c r="I178" s="27" t="n"/>
      <c r="J178" s="28" t="n"/>
      <c r="K178" s="27" t="n"/>
      <c r="L178" s="28">
        <f>IF(OR(I178="",J178=""),"",IF(I178&gt;0,J178*(I178/100),J178*(100/(-I178))))</f>
        <v/>
      </c>
      <c r="M178" s="29">
        <f>IF(K178="Hit",L178,IF(K178="No Hit",-J178,""))</f>
        <v/>
      </c>
      <c r="N178" s="29">
        <f>IF(M178="","",SUM($M$2:M178))</f>
        <v/>
      </c>
      <c r="O178" s="25" t="n"/>
    </row>
    <row r="179">
      <c r="A179" s="24" t="n"/>
      <c r="B179" s="25" t="n"/>
      <c r="C179" s="25" t="n"/>
      <c r="D179" s="25" t="n"/>
      <c r="E179" s="26" t="n"/>
      <c r="F179" s="27" t="n"/>
      <c r="G179" s="27" t="n"/>
      <c r="H179" s="27" t="n"/>
      <c r="I179" s="27" t="n"/>
      <c r="J179" s="28" t="n"/>
      <c r="K179" s="27" t="n"/>
      <c r="L179" s="28">
        <f>IF(OR(I179="",J179=""),"",IF(I179&gt;0,J179*(I179/100),J179*(100/(-I179))))</f>
        <v/>
      </c>
      <c r="M179" s="29">
        <f>IF(K179="Hit",L179,IF(K179="No Hit",-J179,""))</f>
        <v/>
      </c>
      <c r="N179" s="29">
        <f>IF(M179="","",SUM($M$2:M179))</f>
        <v/>
      </c>
      <c r="O179" s="25" t="n"/>
    </row>
    <row r="180">
      <c r="A180" s="24" t="n"/>
      <c r="B180" s="25" t="n"/>
      <c r="C180" s="25" t="n"/>
      <c r="D180" s="25" t="n"/>
      <c r="E180" s="26" t="n"/>
      <c r="F180" s="27" t="n"/>
      <c r="G180" s="27" t="n"/>
      <c r="H180" s="27" t="n"/>
      <c r="I180" s="27" t="n"/>
      <c r="J180" s="28" t="n"/>
      <c r="K180" s="27" t="n"/>
      <c r="L180" s="28">
        <f>IF(OR(I180="",J180=""),"",IF(I180&gt;0,J180*(I180/100),J180*(100/(-I180))))</f>
        <v/>
      </c>
      <c r="M180" s="29">
        <f>IF(K180="Hit",L180,IF(K180="No Hit",-J180,""))</f>
        <v/>
      </c>
      <c r="N180" s="29">
        <f>IF(M180="","",SUM($M$2:M180))</f>
        <v/>
      </c>
      <c r="O180" s="25" t="n"/>
    </row>
    <row r="181">
      <c r="A181" s="24" t="n"/>
      <c r="B181" s="25" t="n"/>
      <c r="C181" s="25" t="n"/>
      <c r="D181" s="25" t="n"/>
      <c r="E181" s="26" t="n"/>
      <c r="F181" s="27" t="n"/>
      <c r="G181" s="27" t="n"/>
      <c r="H181" s="27" t="n"/>
      <c r="I181" s="27" t="n"/>
      <c r="J181" s="28" t="n"/>
      <c r="K181" s="27" t="n"/>
      <c r="L181" s="28">
        <f>IF(OR(I181="",J181=""),"",IF(I181&gt;0,J181*(I181/100),J181*(100/(-I181))))</f>
        <v/>
      </c>
      <c r="M181" s="29">
        <f>IF(K181="Hit",L181,IF(K181="No Hit",-J181,""))</f>
        <v/>
      </c>
      <c r="N181" s="29">
        <f>IF(M181="","",SUM($M$2:M181))</f>
        <v/>
      </c>
      <c r="O181" s="25" t="n"/>
    </row>
    <row r="182">
      <c r="A182" s="24" t="n"/>
      <c r="B182" s="25" t="n"/>
      <c r="C182" s="25" t="n"/>
      <c r="D182" s="25" t="n"/>
      <c r="E182" s="26" t="n"/>
      <c r="F182" s="27" t="n"/>
      <c r="G182" s="27" t="n"/>
      <c r="H182" s="27" t="n"/>
      <c r="I182" s="27" t="n"/>
      <c r="J182" s="28" t="n"/>
      <c r="K182" s="27" t="n"/>
      <c r="L182" s="28">
        <f>IF(OR(I182="",J182=""),"",IF(I182&gt;0,J182*(I182/100),J182*(100/(-I182))))</f>
        <v/>
      </c>
      <c r="M182" s="29">
        <f>IF(K182="Hit",L182,IF(K182="No Hit",-J182,""))</f>
        <v/>
      </c>
      <c r="N182" s="29">
        <f>IF(M182="","",SUM($M$2:M182))</f>
        <v/>
      </c>
      <c r="O182" s="25" t="n"/>
    </row>
    <row r="183">
      <c r="A183" s="24" t="n"/>
      <c r="B183" s="25" t="n"/>
      <c r="C183" s="25" t="n"/>
      <c r="D183" s="25" t="n"/>
      <c r="E183" s="26" t="n"/>
      <c r="F183" s="27" t="n"/>
      <c r="G183" s="27" t="n"/>
      <c r="H183" s="27" t="n"/>
      <c r="I183" s="27" t="n"/>
      <c r="J183" s="28" t="n"/>
      <c r="K183" s="27" t="n"/>
      <c r="L183" s="28">
        <f>IF(OR(I183="",J183=""),"",IF(I183&gt;0,J183*(I183/100),J183*(100/(-I183))))</f>
        <v/>
      </c>
      <c r="M183" s="29">
        <f>IF(K183="Hit",L183,IF(K183="No Hit",-J183,""))</f>
        <v/>
      </c>
      <c r="N183" s="29">
        <f>IF(M183="","",SUM($M$2:M183))</f>
        <v/>
      </c>
      <c r="O183" s="25" t="n"/>
    </row>
    <row r="184">
      <c r="A184" s="24" t="n"/>
      <c r="B184" s="25" t="n"/>
      <c r="C184" s="25" t="n"/>
      <c r="D184" s="25" t="n"/>
      <c r="E184" s="26" t="n"/>
      <c r="F184" s="27" t="n"/>
      <c r="G184" s="27" t="n"/>
      <c r="H184" s="27" t="n"/>
      <c r="I184" s="27" t="n"/>
      <c r="J184" s="28" t="n"/>
      <c r="K184" s="27" t="n"/>
      <c r="L184" s="28">
        <f>IF(OR(I184="",J184=""),"",IF(I184&gt;0,J184*(I184/100),J184*(100/(-I184))))</f>
        <v/>
      </c>
      <c r="M184" s="29">
        <f>IF(K184="Hit",L184,IF(K184="No Hit",-J184,""))</f>
        <v/>
      </c>
      <c r="N184" s="29">
        <f>IF(M184="","",SUM($M$2:M184))</f>
        <v/>
      </c>
      <c r="O184" s="25" t="n"/>
    </row>
    <row r="185">
      <c r="A185" s="24" t="n"/>
      <c r="B185" s="25" t="n"/>
      <c r="C185" s="25" t="n"/>
      <c r="D185" s="25" t="n"/>
      <c r="E185" s="26" t="n"/>
      <c r="F185" s="27" t="n"/>
      <c r="G185" s="27" t="n"/>
      <c r="H185" s="27" t="n"/>
      <c r="I185" s="27" t="n"/>
      <c r="J185" s="28" t="n"/>
      <c r="K185" s="27" t="n"/>
      <c r="L185" s="28">
        <f>IF(OR(I185="",J185=""),"",IF(I185&gt;0,J185*(I185/100),J185*(100/(-I185))))</f>
        <v/>
      </c>
      <c r="M185" s="29">
        <f>IF(K185="Hit",L185,IF(K185="No Hit",-J185,""))</f>
        <v/>
      </c>
      <c r="N185" s="29">
        <f>IF(M185="","",SUM($M$2:M185))</f>
        <v/>
      </c>
      <c r="O185" s="25" t="n"/>
    </row>
    <row r="186">
      <c r="A186" s="24" t="n"/>
      <c r="B186" s="25" t="n"/>
      <c r="C186" s="25" t="n"/>
      <c r="D186" s="25" t="n"/>
      <c r="E186" s="26" t="n"/>
      <c r="F186" s="27" t="n"/>
      <c r="G186" s="27" t="n"/>
      <c r="H186" s="27" t="n"/>
      <c r="I186" s="27" t="n"/>
      <c r="J186" s="28" t="n"/>
      <c r="K186" s="27" t="n"/>
      <c r="L186" s="28">
        <f>IF(OR(I186="",J186=""),"",IF(I186&gt;0,J186*(I186/100),J186*(100/(-I186))))</f>
        <v/>
      </c>
      <c r="M186" s="29">
        <f>IF(K186="Hit",L186,IF(K186="No Hit",-J186,""))</f>
        <v/>
      </c>
      <c r="N186" s="29">
        <f>IF(M186="","",SUM($M$2:M186))</f>
        <v/>
      </c>
      <c r="O186" s="25" t="n"/>
    </row>
    <row r="187">
      <c r="A187" s="24" t="n"/>
      <c r="B187" s="25" t="n"/>
      <c r="C187" s="25" t="n"/>
      <c r="D187" s="25" t="n"/>
      <c r="E187" s="26" t="n"/>
      <c r="F187" s="27" t="n"/>
      <c r="G187" s="27" t="n"/>
      <c r="H187" s="27" t="n"/>
      <c r="I187" s="27" t="n"/>
      <c r="J187" s="28" t="n"/>
      <c r="K187" s="27" t="n"/>
      <c r="L187" s="28">
        <f>IF(OR(I187="",J187=""),"",IF(I187&gt;0,J187*(I187/100),J187*(100/(-I187))))</f>
        <v/>
      </c>
      <c r="M187" s="29">
        <f>IF(K187="Hit",L187,IF(K187="No Hit",-J187,""))</f>
        <v/>
      </c>
      <c r="N187" s="29">
        <f>IF(M187="","",SUM($M$2:M187))</f>
        <v/>
      </c>
      <c r="O187" s="25" t="n"/>
    </row>
    <row r="188">
      <c r="A188" s="24" t="n"/>
      <c r="B188" s="25" t="n"/>
      <c r="C188" s="25" t="n"/>
      <c r="D188" s="25" t="n"/>
      <c r="E188" s="26" t="n"/>
      <c r="F188" s="27" t="n"/>
      <c r="G188" s="27" t="n"/>
      <c r="H188" s="27" t="n"/>
      <c r="I188" s="27" t="n"/>
      <c r="J188" s="28" t="n"/>
      <c r="K188" s="27" t="n"/>
      <c r="L188" s="28">
        <f>IF(OR(I188="",J188=""),"",IF(I188&gt;0,J188*(I188/100),J188*(100/(-I188))))</f>
        <v/>
      </c>
      <c r="M188" s="29">
        <f>IF(K188="Hit",L188,IF(K188="No Hit",-J188,""))</f>
        <v/>
      </c>
      <c r="N188" s="29">
        <f>IF(M188="","",SUM($M$2:M188))</f>
        <v/>
      </c>
      <c r="O188" s="25" t="n"/>
    </row>
    <row r="189">
      <c r="A189" s="24" t="n"/>
      <c r="B189" s="25" t="n"/>
      <c r="C189" s="25" t="n"/>
      <c r="D189" s="25" t="n"/>
      <c r="E189" s="26" t="n"/>
      <c r="F189" s="27" t="n"/>
      <c r="G189" s="27" t="n"/>
      <c r="H189" s="27" t="n"/>
      <c r="I189" s="27" t="n"/>
      <c r="J189" s="28" t="n"/>
      <c r="K189" s="27" t="n"/>
      <c r="L189" s="28">
        <f>IF(OR(I189="",J189=""),"",IF(I189&gt;0,J189*(I189/100),J189*(100/(-I189))))</f>
        <v/>
      </c>
      <c r="M189" s="29">
        <f>IF(K189="Hit",L189,IF(K189="No Hit",-J189,""))</f>
        <v/>
      </c>
      <c r="N189" s="29">
        <f>IF(M189="","",SUM($M$2:M189))</f>
        <v/>
      </c>
      <c r="O189" s="25" t="n"/>
    </row>
    <row r="190">
      <c r="A190" s="24" t="n"/>
      <c r="B190" s="25" t="n"/>
      <c r="C190" s="25" t="n"/>
      <c r="D190" s="25" t="n"/>
      <c r="E190" s="26" t="n"/>
      <c r="F190" s="27" t="n"/>
      <c r="G190" s="27" t="n"/>
      <c r="H190" s="27" t="n"/>
      <c r="I190" s="27" t="n"/>
      <c r="J190" s="28" t="n"/>
      <c r="K190" s="27" t="n"/>
      <c r="L190" s="28">
        <f>IF(OR(I190="",J190=""),"",IF(I190&gt;0,J190*(I190/100),J190*(100/(-I190))))</f>
        <v/>
      </c>
      <c r="M190" s="29">
        <f>IF(K190="Hit",L190,IF(K190="No Hit",-J190,""))</f>
        <v/>
      </c>
      <c r="N190" s="29">
        <f>IF(M190="","",SUM($M$2:M190))</f>
        <v/>
      </c>
      <c r="O190" s="25" t="n"/>
    </row>
    <row r="191">
      <c r="A191" s="24" t="n"/>
      <c r="B191" s="25" t="n"/>
      <c r="C191" s="25" t="n"/>
      <c r="D191" s="25" t="n"/>
      <c r="E191" s="26" t="n"/>
      <c r="F191" s="27" t="n"/>
      <c r="G191" s="27" t="n"/>
      <c r="H191" s="27" t="n"/>
      <c r="I191" s="27" t="n"/>
      <c r="J191" s="28" t="n"/>
      <c r="K191" s="27" t="n"/>
      <c r="L191" s="28">
        <f>IF(OR(I191="",J191=""),"",IF(I191&gt;0,J191*(I191/100),J191*(100/(-I191))))</f>
        <v/>
      </c>
      <c r="M191" s="29">
        <f>IF(K191="Hit",L191,IF(K191="No Hit",-J191,""))</f>
        <v/>
      </c>
      <c r="N191" s="29">
        <f>IF(M191="","",SUM($M$2:M191))</f>
        <v/>
      </c>
      <c r="O191" s="25" t="n"/>
    </row>
    <row r="192">
      <c r="A192" s="24" t="n"/>
      <c r="B192" s="25" t="n"/>
      <c r="C192" s="25" t="n"/>
      <c r="D192" s="25" t="n"/>
      <c r="E192" s="26" t="n"/>
      <c r="F192" s="27" t="n"/>
      <c r="G192" s="27" t="n"/>
      <c r="H192" s="27" t="n"/>
      <c r="I192" s="27" t="n"/>
      <c r="J192" s="28" t="n"/>
      <c r="K192" s="27" t="n"/>
      <c r="L192" s="28">
        <f>IF(OR(I192="",J192=""),"",IF(I192&gt;0,J192*(I192/100),J192*(100/(-I192))))</f>
        <v/>
      </c>
      <c r="M192" s="29">
        <f>IF(K192="Hit",L192,IF(K192="No Hit",-J192,""))</f>
        <v/>
      </c>
      <c r="N192" s="29">
        <f>IF(M192="","",SUM($M$2:M192))</f>
        <v/>
      </c>
      <c r="O192" s="25" t="n"/>
    </row>
    <row r="193">
      <c r="A193" s="24" t="n"/>
      <c r="B193" s="25" t="n"/>
      <c r="C193" s="25" t="n"/>
      <c r="D193" s="25" t="n"/>
      <c r="E193" s="26" t="n"/>
      <c r="F193" s="27" t="n"/>
      <c r="G193" s="27" t="n"/>
      <c r="H193" s="27" t="n"/>
      <c r="I193" s="27" t="n"/>
      <c r="J193" s="28" t="n"/>
      <c r="K193" s="27" t="n"/>
      <c r="L193" s="28">
        <f>IF(OR(I193="",J193=""),"",IF(I193&gt;0,J193*(I193/100),J193*(100/(-I193))))</f>
        <v/>
      </c>
      <c r="M193" s="29">
        <f>IF(K193="Hit",L193,IF(K193="No Hit",-J193,""))</f>
        <v/>
      </c>
      <c r="N193" s="29">
        <f>IF(M193="","",SUM($M$2:M193))</f>
        <v/>
      </c>
      <c r="O193" s="25" t="n"/>
    </row>
    <row r="194">
      <c r="A194" s="24" t="n"/>
      <c r="B194" s="25" t="n"/>
      <c r="C194" s="25" t="n"/>
      <c r="D194" s="25" t="n"/>
      <c r="E194" s="26" t="n"/>
      <c r="F194" s="27" t="n"/>
      <c r="G194" s="27" t="n"/>
      <c r="H194" s="27" t="n"/>
      <c r="I194" s="27" t="n"/>
      <c r="J194" s="28" t="n"/>
      <c r="K194" s="27" t="n"/>
      <c r="L194" s="28">
        <f>IF(OR(I194="",J194=""),"",IF(I194&gt;0,J194*(I194/100),J194*(100/(-I194))))</f>
        <v/>
      </c>
      <c r="M194" s="29">
        <f>IF(K194="Hit",L194,IF(K194="No Hit",-J194,""))</f>
        <v/>
      </c>
      <c r="N194" s="29">
        <f>IF(M194="","",SUM($M$2:M194))</f>
        <v/>
      </c>
      <c r="O194" s="25" t="n"/>
    </row>
    <row r="195">
      <c r="A195" s="24" t="n"/>
      <c r="B195" s="25" t="n"/>
      <c r="C195" s="25" t="n"/>
      <c r="D195" s="25" t="n"/>
      <c r="E195" s="26" t="n"/>
      <c r="F195" s="27" t="n"/>
      <c r="G195" s="27" t="n"/>
      <c r="H195" s="27" t="n"/>
      <c r="I195" s="27" t="n"/>
      <c r="J195" s="28" t="n"/>
      <c r="K195" s="27" t="n"/>
      <c r="L195" s="28">
        <f>IF(OR(I195="",J195=""),"",IF(I195&gt;0,J195*(I195/100),J195*(100/(-I195))))</f>
        <v/>
      </c>
      <c r="M195" s="29">
        <f>IF(K195="Hit",L195,IF(K195="No Hit",-J195,""))</f>
        <v/>
      </c>
      <c r="N195" s="29">
        <f>IF(M195="","",SUM($M$2:M195))</f>
        <v/>
      </c>
      <c r="O195" s="25" t="n"/>
    </row>
    <row r="196">
      <c r="A196" s="24" t="n"/>
      <c r="B196" s="25" t="n"/>
      <c r="C196" s="25" t="n"/>
      <c r="D196" s="25" t="n"/>
      <c r="E196" s="26" t="n"/>
      <c r="F196" s="27" t="n"/>
      <c r="G196" s="27" t="n"/>
      <c r="H196" s="27" t="n"/>
      <c r="I196" s="27" t="n"/>
      <c r="J196" s="28" t="n"/>
      <c r="K196" s="27" t="n"/>
      <c r="L196" s="28">
        <f>IF(OR(I196="",J196=""),"",IF(I196&gt;0,J196*(I196/100),J196*(100/(-I196))))</f>
        <v/>
      </c>
      <c r="M196" s="29">
        <f>IF(K196="Hit",L196,IF(K196="No Hit",-J196,""))</f>
        <v/>
      </c>
      <c r="N196" s="29">
        <f>IF(M196="","",SUM($M$2:M196))</f>
        <v/>
      </c>
      <c r="O196" s="25" t="n"/>
    </row>
    <row r="197">
      <c r="A197" s="24" t="n"/>
      <c r="B197" s="25" t="n"/>
      <c r="C197" s="25" t="n"/>
      <c r="D197" s="25" t="n"/>
      <c r="E197" s="26" t="n"/>
      <c r="F197" s="27" t="n"/>
      <c r="G197" s="27" t="n"/>
      <c r="H197" s="27" t="n"/>
      <c r="I197" s="27" t="n"/>
      <c r="J197" s="28" t="n"/>
      <c r="K197" s="27" t="n"/>
      <c r="L197" s="28">
        <f>IF(OR(I197="",J197=""),"",IF(I197&gt;0,J197*(I197/100),J197*(100/(-I197))))</f>
        <v/>
      </c>
      <c r="M197" s="29">
        <f>IF(K197="Hit",L197,IF(K197="No Hit",-J197,""))</f>
        <v/>
      </c>
      <c r="N197" s="29">
        <f>IF(M197="","",SUM($M$2:M197))</f>
        <v/>
      </c>
      <c r="O197" s="25" t="n"/>
    </row>
    <row r="198">
      <c r="A198" s="24" t="n"/>
      <c r="B198" s="25" t="n"/>
      <c r="C198" s="25" t="n"/>
      <c r="D198" s="25" t="n"/>
      <c r="E198" s="26" t="n"/>
      <c r="F198" s="27" t="n"/>
      <c r="G198" s="27" t="n"/>
      <c r="H198" s="27" t="n"/>
      <c r="I198" s="27" t="n"/>
      <c r="J198" s="28" t="n"/>
      <c r="K198" s="27" t="n"/>
      <c r="L198" s="28">
        <f>IF(OR(I198="",J198=""),"",IF(I198&gt;0,J198*(I198/100),J198*(100/(-I198))))</f>
        <v/>
      </c>
      <c r="M198" s="29">
        <f>IF(K198="Hit",L198,IF(K198="No Hit",-J198,""))</f>
        <v/>
      </c>
      <c r="N198" s="29">
        <f>IF(M198="","",SUM($M$2:M198))</f>
        <v/>
      </c>
      <c r="O198" s="25" t="n"/>
    </row>
    <row r="199">
      <c r="A199" s="24" t="n"/>
      <c r="B199" s="25" t="n"/>
      <c r="C199" s="25" t="n"/>
      <c r="D199" s="25" t="n"/>
      <c r="E199" s="26" t="n"/>
      <c r="F199" s="27" t="n"/>
      <c r="G199" s="27" t="n"/>
      <c r="H199" s="27" t="n"/>
      <c r="I199" s="27" t="n"/>
      <c r="J199" s="28" t="n"/>
      <c r="K199" s="27" t="n"/>
      <c r="L199" s="28">
        <f>IF(OR(I199="",J199=""),"",IF(I199&gt;0,J199*(I199/100),J199*(100/(-I199))))</f>
        <v/>
      </c>
      <c r="M199" s="29">
        <f>IF(K199="Hit",L199,IF(K199="No Hit",-J199,""))</f>
        <v/>
      </c>
      <c r="N199" s="29">
        <f>IF(M199="","",SUM($M$2:M199))</f>
        <v/>
      </c>
      <c r="O199" s="25" t="n"/>
    </row>
    <row r="200">
      <c r="A200" s="24" t="n"/>
      <c r="B200" s="25" t="n"/>
      <c r="C200" s="25" t="n"/>
      <c r="D200" s="25" t="n"/>
      <c r="E200" s="26" t="n"/>
      <c r="F200" s="27" t="n"/>
      <c r="G200" s="27" t="n"/>
      <c r="H200" s="27" t="n"/>
      <c r="I200" s="27" t="n"/>
      <c r="J200" s="28" t="n"/>
      <c r="K200" s="27" t="n"/>
      <c r="L200" s="28">
        <f>IF(OR(I200="",J200=""),"",IF(I200&gt;0,J200*(I200/100),J200*(100/(-I200))))</f>
        <v/>
      </c>
      <c r="M200" s="29">
        <f>IF(K200="Hit",L200,IF(K200="No Hit",-J200,""))</f>
        <v/>
      </c>
      <c r="N200" s="29">
        <f>IF(M200="","",SUM($M$2:M200))</f>
        <v/>
      </c>
      <c r="O200" s="25" t="n"/>
    </row>
    <row r="201">
      <c r="A201" s="24" t="n"/>
      <c r="B201" s="25" t="n"/>
      <c r="C201" s="25" t="n"/>
      <c r="D201" s="25" t="n"/>
      <c r="E201" s="26" t="n"/>
      <c r="F201" s="27" t="n"/>
      <c r="G201" s="27" t="n"/>
      <c r="H201" s="27" t="n"/>
      <c r="I201" s="27" t="n"/>
      <c r="J201" s="28" t="n"/>
      <c r="K201" s="27" t="n"/>
      <c r="L201" s="28">
        <f>IF(OR(I201="",J201=""),"",IF(I201&gt;0,J201*(I201/100),J201*(100/(-I201))))</f>
        <v/>
      </c>
      <c r="M201" s="29">
        <f>IF(K201="Hit",L201,IF(K201="No Hit",-J201,""))</f>
        <v/>
      </c>
      <c r="N201" s="29">
        <f>IF(M201="","",SUM($M$2:M201))</f>
        <v/>
      </c>
      <c r="O201" s="25" t="n"/>
    </row>
    <row r="202">
      <c r="A202" s="24" t="n"/>
      <c r="B202" s="25" t="n"/>
      <c r="C202" s="25" t="n"/>
      <c r="D202" s="25" t="n"/>
      <c r="E202" s="26" t="n"/>
      <c r="F202" s="27" t="n"/>
      <c r="G202" s="27" t="n"/>
      <c r="H202" s="27" t="n"/>
      <c r="I202" s="27" t="n"/>
      <c r="J202" s="28" t="n"/>
      <c r="K202" s="27" t="n"/>
      <c r="L202" s="28">
        <f>IF(OR(I202="",J202=""),"",IF(I202&gt;0,J202*(I202/100),J202*(100/(-I202))))</f>
        <v/>
      </c>
      <c r="M202" s="29">
        <f>IF(K202="Hit",L202,IF(K202="No Hit",-J202,""))</f>
        <v/>
      </c>
      <c r="N202" s="29">
        <f>IF(M202="","",SUM($M$2:M202))</f>
        <v/>
      </c>
      <c r="O202" s="25" t="n"/>
    </row>
    <row r="203">
      <c r="A203" s="24" t="n"/>
      <c r="B203" s="25" t="n"/>
      <c r="C203" s="25" t="n"/>
      <c r="D203" s="25" t="n"/>
      <c r="E203" s="26" t="n"/>
      <c r="F203" s="27" t="n"/>
      <c r="G203" s="27" t="n"/>
      <c r="H203" s="27" t="n"/>
      <c r="I203" s="27" t="n"/>
      <c r="J203" s="28" t="n"/>
      <c r="K203" s="27" t="n"/>
      <c r="L203" s="28">
        <f>IF(OR(I203="",J203=""),"",IF(I203&gt;0,J203*(I203/100),J203*(100/(-I203))))</f>
        <v/>
      </c>
      <c r="M203" s="29">
        <f>IF(K203="Hit",L203,IF(K203="No Hit",-J203,""))</f>
        <v/>
      </c>
      <c r="N203" s="29">
        <f>IF(M203="","",SUM($M$2:M203))</f>
        <v/>
      </c>
      <c r="O203" s="25" t="n"/>
    </row>
    <row r="204">
      <c r="A204" s="24" t="n"/>
      <c r="B204" s="25" t="n"/>
      <c r="C204" s="25" t="n"/>
      <c r="D204" s="25" t="n"/>
      <c r="E204" s="26" t="n"/>
      <c r="F204" s="27" t="n"/>
      <c r="G204" s="27" t="n"/>
      <c r="H204" s="27" t="n"/>
      <c r="I204" s="27" t="n"/>
      <c r="J204" s="28" t="n"/>
      <c r="K204" s="27" t="n"/>
      <c r="L204" s="28">
        <f>IF(OR(I204="",J204=""),"",IF(I204&gt;0,J204*(I204/100),J204*(100/(-I204))))</f>
        <v/>
      </c>
      <c r="M204" s="29">
        <f>IF(K204="Hit",L204,IF(K204="No Hit",-J204,""))</f>
        <v/>
      </c>
      <c r="N204" s="29">
        <f>IF(M204="","",SUM($M$2:M204))</f>
        <v/>
      </c>
      <c r="O204" s="25" t="n"/>
    </row>
    <row r="205">
      <c r="A205" s="24" t="n"/>
      <c r="B205" s="25" t="n"/>
      <c r="C205" s="25" t="n"/>
      <c r="D205" s="25" t="n"/>
      <c r="E205" s="26" t="n"/>
      <c r="F205" s="27" t="n"/>
      <c r="G205" s="27" t="n"/>
      <c r="H205" s="27" t="n"/>
      <c r="I205" s="27" t="n"/>
      <c r="J205" s="28" t="n"/>
      <c r="K205" s="27" t="n"/>
      <c r="L205" s="28">
        <f>IF(OR(I205="",J205=""),"",IF(I205&gt;0,J205*(I205/100),J205*(100/(-I205))))</f>
        <v/>
      </c>
      <c r="M205" s="29">
        <f>IF(K205="Hit",L205,IF(K205="No Hit",-J205,""))</f>
        <v/>
      </c>
      <c r="N205" s="29">
        <f>IF(M205="","",SUM($M$2:M205))</f>
        <v/>
      </c>
      <c r="O205" s="25" t="n"/>
    </row>
    <row r="206">
      <c r="A206" s="24" t="n"/>
      <c r="B206" s="25" t="n"/>
      <c r="C206" s="25" t="n"/>
      <c r="D206" s="25" t="n"/>
      <c r="E206" s="26" t="n"/>
      <c r="F206" s="27" t="n"/>
      <c r="G206" s="27" t="n"/>
      <c r="H206" s="27" t="n"/>
      <c r="I206" s="27" t="n"/>
      <c r="J206" s="28" t="n"/>
      <c r="K206" s="27" t="n"/>
      <c r="L206" s="28">
        <f>IF(OR(I206="",J206=""),"",IF(I206&gt;0,J206*(I206/100),J206*(100/(-I206))))</f>
        <v/>
      </c>
      <c r="M206" s="29">
        <f>IF(K206="Hit",L206,IF(K206="No Hit",-J206,""))</f>
        <v/>
      </c>
      <c r="N206" s="29">
        <f>IF(M206="","",SUM($M$2:M206))</f>
        <v/>
      </c>
      <c r="O206" s="25" t="n"/>
    </row>
    <row r="207">
      <c r="A207" s="24" t="n"/>
      <c r="B207" s="25" t="n"/>
      <c r="C207" s="25" t="n"/>
      <c r="D207" s="25" t="n"/>
      <c r="E207" s="26" t="n"/>
      <c r="F207" s="27" t="n"/>
      <c r="G207" s="27" t="n"/>
      <c r="H207" s="27" t="n"/>
      <c r="I207" s="27" t="n"/>
      <c r="J207" s="28" t="n"/>
      <c r="K207" s="27" t="n"/>
      <c r="L207" s="28">
        <f>IF(OR(I207="",J207=""),"",IF(I207&gt;0,J207*(I207/100),J207*(100/(-I207))))</f>
        <v/>
      </c>
      <c r="M207" s="29">
        <f>IF(K207="Hit",L207,IF(K207="No Hit",-J207,""))</f>
        <v/>
      </c>
      <c r="N207" s="29">
        <f>IF(M207="","",SUM($M$2:M207))</f>
        <v/>
      </c>
      <c r="O207" s="25" t="n"/>
    </row>
    <row r="208">
      <c r="A208" s="24" t="n"/>
      <c r="B208" s="25" t="n"/>
      <c r="C208" s="25" t="n"/>
      <c r="D208" s="25" t="n"/>
      <c r="E208" s="26" t="n"/>
      <c r="F208" s="27" t="n"/>
      <c r="G208" s="27" t="n"/>
      <c r="H208" s="27" t="n"/>
      <c r="I208" s="27" t="n"/>
      <c r="J208" s="28" t="n"/>
      <c r="K208" s="27" t="n"/>
      <c r="L208" s="28">
        <f>IF(OR(I208="",J208=""),"",IF(I208&gt;0,J208*(I208/100),J208*(100/(-I208))))</f>
        <v/>
      </c>
      <c r="M208" s="29">
        <f>IF(K208="Hit",L208,IF(K208="No Hit",-J208,""))</f>
        <v/>
      </c>
      <c r="N208" s="29">
        <f>IF(M208="","",SUM($M$2:M208))</f>
        <v/>
      </c>
      <c r="O208" s="25" t="n"/>
    </row>
    <row r="209">
      <c r="A209" s="24" t="n"/>
      <c r="B209" s="25" t="n"/>
      <c r="C209" s="25" t="n"/>
      <c r="D209" s="25" t="n"/>
      <c r="E209" s="26" t="n"/>
      <c r="F209" s="27" t="n"/>
      <c r="G209" s="27" t="n"/>
      <c r="H209" s="27" t="n"/>
      <c r="I209" s="27" t="n"/>
      <c r="J209" s="28" t="n"/>
      <c r="K209" s="27" t="n"/>
      <c r="L209" s="28">
        <f>IF(OR(I209="",J209=""),"",IF(I209&gt;0,J209*(I209/100),J209*(100/(-I209))))</f>
        <v/>
      </c>
      <c r="M209" s="29">
        <f>IF(K209="Hit",L209,IF(K209="No Hit",-J209,""))</f>
        <v/>
      </c>
      <c r="N209" s="29">
        <f>IF(M209="","",SUM($M$2:M209))</f>
        <v/>
      </c>
      <c r="O209" s="25" t="n"/>
    </row>
    <row r="210">
      <c r="A210" s="24" t="n"/>
      <c r="B210" s="25" t="n"/>
      <c r="C210" s="25" t="n"/>
      <c r="D210" s="25" t="n"/>
      <c r="E210" s="26" t="n"/>
      <c r="F210" s="27" t="n"/>
      <c r="G210" s="27" t="n"/>
      <c r="H210" s="27" t="n"/>
      <c r="I210" s="27" t="n"/>
      <c r="J210" s="28" t="n"/>
      <c r="K210" s="27" t="n"/>
      <c r="L210" s="28">
        <f>IF(OR(I210="",J210=""),"",IF(I210&gt;0,J210*(I210/100),J210*(100/(-I210))))</f>
        <v/>
      </c>
      <c r="M210" s="29">
        <f>IF(K210="Hit",L210,IF(K210="No Hit",-J210,""))</f>
        <v/>
      </c>
      <c r="N210" s="29">
        <f>IF(M210="","",SUM($M$2:M210))</f>
        <v/>
      </c>
      <c r="O210" s="25" t="n"/>
    </row>
    <row r="211">
      <c r="A211" s="24" t="n"/>
      <c r="B211" s="25" t="n"/>
      <c r="C211" s="25" t="n"/>
      <c r="D211" s="25" t="n"/>
      <c r="E211" s="26" t="n"/>
      <c r="F211" s="27" t="n"/>
      <c r="G211" s="27" t="n"/>
      <c r="H211" s="27" t="n"/>
      <c r="I211" s="27" t="n"/>
      <c r="J211" s="28" t="n"/>
      <c r="K211" s="27" t="n"/>
      <c r="L211" s="28">
        <f>IF(OR(I211="",J211=""),"",IF(I211&gt;0,J211*(I211/100),J211*(100/(-I211))))</f>
        <v/>
      </c>
      <c r="M211" s="29">
        <f>IF(K211="Hit",L211,IF(K211="No Hit",-J211,""))</f>
        <v/>
      </c>
      <c r="N211" s="29">
        <f>IF(M211="","",SUM($M$2:M211))</f>
        <v/>
      </c>
      <c r="O211" s="25" t="n"/>
    </row>
    <row r="212">
      <c r="A212" s="24" t="n"/>
      <c r="B212" s="25" t="n"/>
      <c r="C212" s="25" t="n"/>
      <c r="D212" s="25" t="n"/>
      <c r="E212" s="26" t="n"/>
      <c r="F212" s="27" t="n"/>
      <c r="G212" s="27" t="n"/>
      <c r="H212" s="27" t="n"/>
      <c r="I212" s="27" t="n"/>
      <c r="J212" s="28" t="n"/>
      <c r="K212" s="27" t="n"/>
      <c r="L212" s="28">
        <f>IF(OR(I212="",J212=""),"",IF(I212&gt;0,J212*(I212/100),J212*(100/(-I212))))</f>
        <v/>
      </c>
      <c r="M212" s="29">
        <f>IF(K212="Hit",L212,IF(K212="No Hit",-J212,""))</f>
        <v/>
      </c>
      <c r="N212" s="29">
        <f>IF(M212="","",SUM($M$2:M212))</f>
        <v/>
      </c>
      <c r="O212" s="25" t="n"/>
    </row>
    <row r="213">
      <c r="A213" s="24" t="n"/>
      <c r="B213" s="25" t="n"/>
      <c r="C213" s="25" t="n"/>
      <c r="D213" s="25" t="n"/>
      <c r="E213" s="26" t="n"/>
      <c r="F213" s="27" t="n"/>
      <c r="G213" s="27" t="n"/>
      <c r="H213" s="27" t="n"/>
      <c r="I213" s="27" t="n"/>
      <c r="J213" s="28" t="n"/>
      <c r="K213" s="27" t="n"/>
      <c r="L213" s="28">
        <f>IF(OR(I213="",J213=""),"",IF(I213&gt;0,J213*(I213/100),J213*(100/(-I213))))</f>
        <v/>
      </c>
      <c r="M213" s="29">
        <f>IF(K213="Hit",L213,IF(K213="No Hit",-J213,""))</f>
        <v/>
      </c>
      <c r="N213" s="29">
        <f>IF(M213="","",SUM($M$2:M213))</f>
        <v/>
      </c>
      <c r="O213" s="25" t="n"/>
    </row>
    <row r="214">
      <c r="A214" s="24" t="n"/>
      <c r="B214" s="25" t="n"/>
      <c r="C214" s="25" t="n"/>
      <c r="D214" s="25" t="n"/>
      <c r="E214" s="26" t="n"/>
      <c r="F214" s="27" t="n"/>
      <c r="G214" s="27" t="n"/>
      <c r="H214" s="27" t="n"/>
      <c r="I214" s="27" t="n"/>
      <c r="J214" s="28" t="n"/>
      <c r="K214" s="27" t="n"/>
      <c r="L214" s="28">
        <f>IF(OR(I214="",J214=""),"",IF(I214&gt;0,J214*(I214/100),J214*(100/(-I214))))</f>
        <v/>
      </c>
      <c r="M214" s="29">
        <f>IF(K214="Hit",L214,IF(K214="No Hit",-J214,""))</f>
        <v/>
      </c>
      <c r="N214" s="29">
        <f>IF(M214="","",SUM($M$2:M214))</f>
        <v/>
      </c>
      <c r="O214" s="25" t="n"/>
    </row>
    <row r="215">
      <c r="A215" s="24" t="n"/>
      <c r="B215" s="25" t="n"/>
      <c r="C215" s="25" t="n"/>
      <c r="D215" s="25" t="n"/>
      <c r="E215" s="26" t="n"/>
      <c r="F215" s="27" t="n"/>
      <c r="G215" s="27" t="n"/>
      <c r="H215" s="27" t="n"/>
      <c r="I215" s="27" t="n"/>
      <c r="J215" s="28" t="n"/>
      <c r="K215" s="27" t="n"/>
      <c r="L215" s="28">
        <f>IF(OR(I215="",J215=""),"",IF(I215&gt;0,J215*(I215/100),J215*(100/(-I215))))</f>
        <v/>
      </c>
      <c r="M215" s="29">
        <f>IF(K215="Hit",L215,IF(K215="No Hit",-J215,""))</f>
        <v/>
      </c>
      <c r="N215" s="29">
        <f>IF(M215="","",SUM($M$2:M215))</f>
        <v/>
      </c>
      <c r="O215" s="25" t="n"/>
    </row>
    <row r="216">
      <c r="A216" s="24" t="n"/>
      <c r="B216" s="25" t="n"/>
      <c r="C216" s="25" t="n"/>
      <c r="D216" s="25" t="n"/>
      <c r="E216" s="26" t="n"/>
      <c r="F216" s="27" t="n"/>
      <c r="G216" s="27" t="n"/>
      <c r="H216" s="27" t="n"/>
      <c r="I216" s="27" t="n"/>
      <c r="J216" s="28" t="n"/>
      <c r="K216" s="27" t="n"/>
      <c r="L216" s="28">
        <f>IF(OR(I216="",J216=""),"",IF(I216&gt;0,J216*(I216/100),J216*(100/(-I216))))</f>
        <v/>
      </c>
      <c r="M216" s="29">
        <f>IF(K216="Hit",L216,IF(K216="No Hit",-J216,""))</f>
        <v/>
      </c>
      <c r="N216" s="29">
        <f>IF(M216="","",SUM($M$2:M216))</f>
        <v/>
      </c>
      <c r="O216" s="25" t="n"/>
    </row>
    <row r="217">
      <c r="A217" s="24" t="n"/>
      <c r="B217" s="25" t="n"/>
      <c r="C217" s="25" t="n"/>
      <c r="D217" s="25" t="n"/>
      <c r="E217" s="26" t="n"/>
      <c r="F217" s="27" t="n"/>
      <c r="G217" s="27" t="n"/>
      <c r="H217" s="27" t="n"/>
      <c r="I217" s="27" t="n"/>
      <c r="J217" s="28" t="n"/>
      <c r="K217" s="27" t="n"/>
      <c r="L217" s="28">
        <f>IF(OR(I217="",J217=""),"",IF(I217&gt;0,J217*(I217/100),J217*(100/(-I217))))</f>
        <v/>
      </c>
      <c r="M217" s="29">
        <f>IF(K217="Hit",L217,IF(K217="No Hit",-J217,""))</f>
        <v/>
      </c>
      <c r="N217" s="29">
        <f>IF(M217="","",SUM($M$2:M217))</f>
        <v/>
      </c>
      <c r="O217" s="25" t="n"/>
    </row>
    <row r="218">
      <c r="A218" s="24" t="n"/>
      <c r="B218" s="25" t="n"/>
      <c r="C218" s="25" t="n"/>
      <c r="D218" s="25" t="n"/>
      <c r="E218" s="26" t="n"/>
      <c r="F218" s="27" t="n"/>
      <c r="G218" s="27" t="n"/>
      <c r="H218" s="27" t="n"/>
      <c r="I218" s="27" t="n"/>
      <c r="J218" s="28" t="n"/>
      <c r="K218" s="27" t="n"/>
      <c r="L218" s="28">
        <f>IF(OR(I218="",J218=""),"",IF(I218&gt;0,J218*(I218/100),J218*(100/(-I218))))</f>
        <v/>
      </c>
      <c r="M218" s="29">
        <f>IF(K218="Hit",L218,IF(K218="No Hit",-J218,""))</f>
        <v/>
      </c>
      <c r="N218" s="29">
        <f>IF(M218="","",SUM($M$2:M218))</f>
        <v/>
      </c>
      <c r="O218" s="25" t="n"/>
    </row>
    <row r="219">
      <c r="A219" s="24" t="n"/>
      <c r="B219" s="25" t="n"/>
      <c r="C219" s="25" t="n"/>
      <c r="D219" s="25" t="n"/>
      <c r="E219" s="26" t="n"/>
      <c r="F219" s="27" t="n"/>
      <c r="G219" s="27" t="n"/>
      <c r="H219" s="27" t="n"/>
      <c r="I219" s="27" t="n"/>
      <c r="J219" s="28" t="n"/>
      <c r="K219" s="27" t="n"/>
      <c r="L219" s="28">
        <f>IF(OR(I219="",J219=""),"",IF(I219&gt;0,J219*(I219/100),J219*(100/(-I219))))</f>
        <v/>
      </c>
      <c r="M219" s="29">
        <f>IF(K219="Hit",L219,IF(K219="No Hit",-J219,""))</f>
        <v/>
      </c>
      <c r="N219" s="29">
        <f>IF(M219="","",SUM($M$2:M219))</f>
        <v/>
      </c>
      <c r="O219" s="25" t="n"/>
    </row>
    <row r="220">
      <c r="A220" s="24" t="n"/>
      <c r="B220" s="25" t="n"/>
      <c r="C220" s="25" t="n"/>
      <c r="D220" s="25" t="n"/>
      <c r="E220" s="26" t="n"/>
      <c r="F220" s="27" t="n"/>
      <c r="G220" s="27" t="n"/>
      <c r="H220" s="27" t="n"/>
      <c r="I220" s="27" t="n"/>
      <c r="J220" s="28" t="n"/>
      <c r="K220" s="27" t="n"/>
      <c r="L220" s="28">
        <f>IF(OR(I220="",J220=""),"",IF(I220&gt;0,J220*(I220/100),J220*(100/(-I220))))</f>
        <v/>
      </c>
      <c r="M220" s="29">
        <f>IF(K220="Hit",L220,IF(K220="No Hit",-J220,""))</f>
        <v/>
      </c>
      <c r="N220" s="29">
        <f>IF(M220="","",SUM($M$2:M220))</f>
        <v/>
      </c>
      <c r="O220" s="25" t="n"/>
    </row>
    <row r="221">
      <c r="A221" s="24" t="n"/>
      <c r="B221" s="25" t="n"/>
      <c r="C221" s="25" t="n"/>
      <c r="D221" s="25" t="n"/>
      <c r="E221" s="26" t="n"/>
      <c r="F221" s="27" t="n"/>
      <c r="G221" s="27" t="n"/>
      <c r="H221" s="27" t="n"/>
      <c r="I221" s="27" t="n"/>
      <c r="J221" s="28" t="n"/>
      <c r="K221" s="27" t="n"/>
      <c r="L221" s="28">
        <f>IF(OR(I221="",J221=""),"",IF(I221&gt;0,J221*(I221/100),J221*(100/(-I221))))</f>
        <v/>
      </c>
      <c r="M221" s="29">
        <f>IF(K221="Hit",L221,IF(K221="No Hit",-J221,""))</f>
        <v/>
      </c>
      <c r="N221" s="29">
        <f>IF(M221="","",SUM($M$2:M221))</f>
        <v/>
      </c>
      <c r="O221" s="25" t="n"/>
    </row>
    <row r="222">
      <c r="A222" s="24" t="n"/>
      <c r="B222" s="25" t="n"/>
      <c r="C222" s="25" t="n"/>
      <c r="D222" s="25" t="n"/>
      <c r="E222" s="26" t="n"/>
      <c r="F222" s="27" t="n"/>
      <c r="G222" s="27" t="n"/>
      <c r="H222" s="27" t="n"/>
      <c r="I222" s="27" t="n"/>
      <c r="J222" s="28" t="n"/>
      <c r="K222" s="27" t="n"/>
      <c r="L222" s="28">
        <f>IF(OR(I222="",J222=""),"",IF(I222&gt;0,J222*(I222/100),J222*(100/(-I222))))</f>
        <v/>
      </c>
      <c r="M222" s="29">
        <f>IF(K222="Hit",L222,IF(K222="No Hit",-J222,""))</f>
        <v/>
      </c>
      <c r="N222" s="29">
        <f>IF(M222="","",SUM($M$2:M222))</f>
        <v/>
      </c>
      <c r="O222" s="25" t="n"/>
    </row>
    <row r="223">
      <c r="A223" s="24" t="n"/>
      <c r="B223" s="25" t="n"/>
      <c r="C223" s="25" t="n"/>
      <c r="D223" s="25" t="n"/>
      <c r="E223" s="26" t="n"/>
      <c r="F223" s="27" t="n"/>
      <c r="G223" s="27" t="n"/>
      <c r="H223" s="27" t="n"/>
      <c r="I223" s="27" t="n"/>
      <c r="J223" s="28" t="n"/>
      <c r="K223" s="27" t="n"/>
      <c r="L223" s="28">
        <f>IF(OR(I223="",J223=""),"",IF(I223&gt;0,J223*(I223/100),J223*(100/(-I223))))</f>
        <v/>
      </c>
      <c r="M223" s="29">
        <f>IF(K223="Hit",L223,IF(K223="No Hit",-J223,""))</f>
        <v/>
      </c>
      <c r="N223" s="29">
        <f>IF(M223="","",SUM($M$2:M223))</f>
        <v/>
      </c>
      <c r="O223" s="25" t="n"/>
    </row>
    <row r="224">
      <c r="A224" s="24" t="n"/>
      <c r="B224" s="25" t="n"/>
      <c r="C224" s="25" t="n"/>
      <c r="D224" s="25" t="n"/>
      <c r="E224" s="26" t="n"/>
      <c r="F224" s="27" t="n"/>
      <c r="G224" s="27" t="n"/>
      <c r="H224" s="27" t="n"/>
      <c r="I224" s="27" t="n"/>
      <c r="J224" s="28" t="n"/>
      <c r="K224" s="27" t="n"/>
      <c r="L224" s="28">
        <f>IF(OR(I224="",J224=""),"",IF(I224&gt;0,J224*(I224/100),J224*(100/(-I224))))</f>
        <v/>
      </c>
      <c r="M224" s="29">
        <f>IF(K224="Hit",L224,IF(K224="No Hit",-J224,""))</f>
        <v/>
      </c>
      <c r="N224" s="29">
        <f>IF(M224="","",SUM($M$2:M224))</f>
        <v/>
      </c>
      <c r="O224" s="25" t="n"/>
    </row>
    <row r="225">
      <c r="A225" s="24" t="n"/>
      <c r="B225" s="25" t="n"/>
      <c r="C225" s="25" t="n"/>
      <c r="D225" s="25" t="n"/>
      <c r="E225" s="26" t="n"/>
      <c r="F225" s="27" t="n"/>
      <c r="G225" s="27" t="n"/>
      <c r="H225" s="27" t="n"/>
      <c r="I225" s="27" t="n"/>
      <c r="J225" s="28" t="n"/>
      <c r="K225" s="27" t="n"/>
      <c r="L225" s="28">
        <f>IF(OR(I225="",J225=""),"",IF(I225&gt;0,J225*(I225/100),J225*(100/(-I225))))</f>
        <v/>
      </c>
      <c r="M225" s="29">
        <f>IF(K225="Hit",L225,IF(K225="No Hit",-J225,""))</f>
        <v/>
      </c>
      <c r="N225" s="29">
        <f>IF(M225="","",SUM($M$2:M225))</f>
        <v/>
      </c>
      <c r="O225" s="25" t="n"/>
    </row>
    <row r="226">
      <c r="A226" s="24" t="n"/>
      <c r="B226" s="25" t="n"/>
      <c r="C226" s="25" t="n"/>
      <c r="D226" s="25" t="n"/>
      <c r="E226" s="26" t="n"/>
      <c r="F226" s="27" t="n"/>
      <c r="G226" s="27" t="n"/>
      <c r="H226" s="27" t="n"/>
      <c r="I226" s="27" t="n"/>
      <c r="J226" s="28" t="n"/>
      <c r="K226" s="27" t="n"/>
      <c r="L226" s="28">
        <f>IF(OR(I226="",J226=""),"",IF(I226&gt;0,J226*(I226/100),J226*(100/(-I226))))</f>
        <v/>
      </c>
      <c r="M226" s="29">
        <f>IF(K226="Hit",L226,IF(K226="No Hit",-J226,""))</f>
        <v/>
      </c>
      <c r="N226" s="29">
        <f>IF(M226="","",SUM($M$2:M226))</f>
        <v/>
      </c>
      <c r="O226" s="25" t="n"/>
    </row>
    <row r="227">
      <c r="A227" s="24" t="n"/>
      <c r="B227" s="25" t="n"/>
      <c r="C227" s="25" t="n"/>
      <c r="D227" s="25" t="n"/>
      <c r="E227" s="26" t="n"/>
      <c r="F227" s="27" t="n"/>
      <c r="G227" s="27" t="n"/>
      <c r="H227" s="27" t="n"/>
      <c r="I227" s="27" t="n"/>
      <c r="J227" s="28" t="n"/>
      <c r="K227" s="27" t="n"/>
      <c r="L227" s="28">
        <f>IF(OR(I227="",J227=""),"",IF(I227&gt;0,J227*(I227/100),J227*(100/(-I227))))</f>
        <v/>
      </c>
      <c r="M227" s="29">
        <f>IF(K227="Hit",L227,IF(K227="No Hit",-J227,""))</f>
        <v/>
      </c>
      <c r="N227" s="29">
        <f>IF(M227="","",SUM($M$2:M227))</f>
        <v/>
      </c>
      <c r="O227" s="25" t="n"/>
    </row>
    <row r="228">
      <c r="A228" s="24" t="n"/>
      <c r="B228" s="25" t="n"/>
      <c r="C228" s="25" t="n"/>
      <c r="D228" s="25" t="n"/>
      <c r="E228" s="26" t="n"/>
      <c r="F228" s="27" t="n"/>
      <c r="G228" s="27" t="n"/>
      <c r="H228" s="27" t="n"/>
      <c r="I228" s="27" t="n"/>
      <c r="J228" s="28" t="n"/>
      <c r="K228" s="27" t="n"/>
      <c r="L228" s="28">
        <f>IF(OR(I228="",J228=""),"",IF(I228&gt;0,J228*(I228/100),J228*(100/(-I228))))</f>
        <v/>
      </c>
      <c r="M228" s="29">
        <f>IF(K228="Hit",L228,IF(K228="No Hit",-J228,""))</f>
        <v/>
      </c>
      <c r="N228" s="29">
        <f>IF(M228="","",SUM($M$2:M228))</f>
        <v/>
      </c>
      <c r="O228" s="25" t="n"/>
    </row>
    <row r="229">
      <c r="A229" s="24" t="n"/>
      <c r="B229" s="25" t="n"/>
      <c r="C229" s="25" t="n"/>
      <c r="D229" s="25" t="n"/>
      <c r="E229" s="26" t="n"/>
      <c r="F229" s="27" t="n"/>
      <c r="G229" s="27" t="n"/>
      <c r="H229" s="27" t="n"/>
      <c r="I229" s="27" t="n"/>
      <c r="J229" s="28" t="n"/>
      <c r="K229" s="27" t="n"/>
      <c r="L229" s="28">
        <f>IF(OR(I229="",J229=""),"",IF(I229&gt;0,J229*(I229/100),J229*(100/(-I229))))</f>
        <v/>
      </c>
      <c r="M229" s="29">
        <f>IF(K229="Hit",L229,IF(K229="No Hit",-J229,""))</f>
        <v/>
      </c>
      <c r="N229" s="29">
        <f>IF(M229="","",SUM($M$2:M229))</f>
        <v/>
      </c>
      <c r="O229" s="25" t="n"/>
    </row>
    <row r="230">
      <c r="A230" s="24" t="n"/>
      <c r="B230" s="25" t="n"/>
      <c r="C230" s="25" t="n"/>
      <c r="D230" s="25" t="n"/>
      <c r="E230" s="26" t="n"/>
      <c r="F230" s="27" t="n"/>
      <c r="G230" s="27" t="n"/>
      <c r="H230" s="27" t="n"/>
      <c r="I230" s="27" t="n"/>
      <c r="J230" s="28" t="n"/>
      <c r="K230" s="27" t="n"/>
      <c r="L230" s="28">
        <f>IF(OR(I230="",J230=""),"",IF(I230&gt;0,J230*(I230/100),J230*(100/(-I230))))</f>
        <v/>
      </c>
      <c r="M230" s="29">
        <f>IF(K230="Hit",L230,IF(K230="No Hit",-J230,""))</f>
        <v/>
      </c>
      <c r="N230" s="29">
        <f>IF(M230="","",SUM($M$2:M230))</f>
        <v/>
      </c>
      <c r="O230" s="25" t="n"/>
    </row>
    <row r="231">
      <c r="A231" s="24" t="n"/>
      <c r="B231" s="25" t="n"/>
      <c r="C231" s="25" t="n"/>
      <c r="D231" s="25" t="n"/>
      <c r="E231" s="26" t="n"/>
      <c r="F231" s="27" t="n"/>
      <c r="G231" s="27" t="n"/>
      <c r="H231" s="27" t="n"/>
      <c r="I231" s="27" t="n"/>
      <c r="J231" s="28" t="n"/>
      <c r="K231" s="27" t="n"/>
      <c r="L231" s="28">
        <f>IF(OR(I231="",J231=""),"",IF(I231&gt;0,J231*(I231/100),J231*(100/(-I231))))</f>
        <v/>
      </c>
      <c r="M231" s="29">
        <f>IF(K231="Hit",L231,IF(K231="No Hit",-J231,""))</f>
        <v/>
      </c>
      <c r="N231" s="29">
        <f>IF(M231="","",SUM($M$2:M231))</f>
        <v/>
      </c>
      <c r="O231" s="25" t="n"/>
    </row>
    <row r="232">
      <c r="A232" s="24" t="n"/>
      <c r="B232" s="25" t="n"/>
      <c r="C232" s="25" t="n"/>
      <c r="D232" s="25" t="n"/>
      <c r="E232" s="26" t="n"/>
      <c r="F232" s="27" t="n"/>
      <c r="G232" s="27" t="n"/>
      <c r="H232" s="27" t="n"/>
      <c r="I232" s="27" t="n"/>
      <c r="J232" s="28" t="n"/>
      <c r="K232" s="27" t="n"/>
      <c r="L232" s="28">
        <f>IF(OR(I232="",J232=""),"",IF(I232&gt;0,J232*(I232/100),J232*(100/(-I232))))</f>
        <v/>
      </c>
      <c r="M232" s="29">
        <f>IF(K232="Hit",L232,IF(K232="No Hit",-J232,""))</f>
        <v/>
      </c>
      <c r="N232" s="29">
        <f>IF(M232="","",SUM($M$2:M232))</f>
        <v/>
      </c>
      <c r="O232" s="25" t="n"/>
    </row>
    <row r="233">
      <c r="A233" s="24" t="n"/>
      <c r="B233" s="25" t="n"/>
      <c r="C233" s="25" t="n"/>
      <c r="D233" s="25" t="n"/>
      <c r="E233" s="26" t="n"/>
      <c r="F233" s="27" t="n"/>
      <c r="G233" s="27" t="n"/>
      <c r="H233" s="27" t="n"/>
      <c r="I233" s="27" t="n"/>
      <c r="J233" s="28" t="n"/>
      <c r="K233" s="27" t="n"/>
      <c r="L233" s="28">
        <f>IF(OR(I233="",J233=""),"",IF(I233&gt;0,J233*(I233/100),J233*(100/(-I233))))</f>
        <v/>
      </c>
      <c r="M233" s="29">
        <f>IF(K233="Hit",L233,IF(K233="No Hit",-J233,""))</f>
        <v/>
      </c>
      <c r="N233" s="29">
        <f>IF(M233="","",SUM($M$2:M233))</f>
        <v/>
      </c>
      <c r="O233" s="25" t="n"/>
    </row>
    <row r="234">
      <c r="A234" s="24" t="n"/>
      <c r="B234" s="25" t="n"/>
      <c r="C234" s="25" t="n"/>
      <c r="D234" s="25" t="n"/>
      <c r="E234" s="26" t="n"/>
      <c r="F234" s="27" t="n"/>
      <c r="G234" s="27" t="n"/>
      <c r="H234" s="27" t="n"/>
      <c r="I234" s="27" t="n"/>
      <c r="J234" s="28" t="n"/>
      <c r="K234" s="27" t="n"/>
      <c r="L234" s="28">
        <f>IF(OR(I234="",J234=""),"",IF(I234&gt;0,J234*(I234/100),J234*(100/(-I234))))</f>
        <v/>
      </c>
      <c r="M234" s="29">
        <f>IF(K234="Hit",L234,IF(K234="No Hit",-J234,""))</f>
        <v/>
      </c>
      <c r="N234" s="29">
        <f>IF(M234="","",SUM($M$2:M234))</f>
        <v/>
      </c>
      <c r="O234" s="25" t="n"/>
    </row>
    <row r="235">
      <c r="A235" s="24" t="n"/>
      <c r="B235" s="25" t="n"/>
      <c r="C235" s="25" t="n"/>
      <c r="D235" s="25" t="n"/>
      <c r="E235" s="26" t="n"/>
      <c r="F235" s="27" t="n"/>
      <c r="G235" s="27" t="n"/>
      <c r="H235" s="27" t="n"/>
      <c r="I235" s="27" t="n"/>
      <c r="J235" s="28" t="n"/>
      <c r="K235" s="27" t="n"/>
      <c r="L235" s="28">
        <f>IF(OR(I235="",J235=""),"",IF(I235&gt;0,J235*(I235/100),J235*(100/(-I235))))</f>
        <v/>
      </c>
      <c r="M235" s="29">
        <f>IF(K235="Hit",L235,IF(K235="No Hit",-J235,""))</f>
        <v/>
      </c>
      <c r="N235" s="29">
        <f>IF(M235="","",SUM($M$2:M235))</f>
        <v/>
      </c>
      <c r="O235" s="25" t="n"/>
    </row>
    <row r="236">
      <c r="A236" s="24" t="n"/>
      <c r="B236" s="25" t="n"/>
      <c r="C236" s="25" t="n"/>
      <c r="D236" s="25" t="n"/>
      <c r="E236" s="26" t="n"/>
      <c r="F236" s="27" t="n"/>
      <c r="G236" s="27" t="n"/>
      <c r="H236" s="27" t="n"/>
      <c r="I236" s="27" t="n"/>
      <c r="J236" s="28" t="n"/>
      <c r="K236" s="27" t="n"/>
      <c r="L236" s="28">
        <f>IF(OR(I236="",J236=""),"",IF(I236&gt;0,J236*(I236/100),J236*(100/(-I236))))</f>
        <v/>
      </c>
      <c r="M236" s="29">
        <f>IF(K236="Hit",L236,IF(K236="No Hit",-J236,""))</f>
        <v/>
      </c>
      <c r="N236" s="29">
        <f>IF(M236="","",SUM($M$2:M236))</f>
        <v/>
      </c>
      <c r="O236" s="25" t="n"/>
    </row>
    <row r="237">
      <c r="A237" s="24" t="n"/>
      <c r="B237" s="25" t="n"/>
      <c r="C237" s="25" t="n"/>
      <c r="D237" s="25" t="n"/>
      <c r="E237" s="26" t="n"/>
      <c r="F237" s="27" t="n"/>
      <c r="G237" s="27" t="n"/>
      <c r="H237" s="27" t="n"/>
      <c r="I237" s="27" t="n"/>
      <c r="J237" s="28" t="n"/>
      <c r="K237" s="27" t="n"/>
      <c r="L237" s="28">
        <f>IF(OR(I237="",J237=""),"",IF(I237&gt;0,J237*(I237/100),J237*(100/(-I237))))</f>
        <v/>
      </c>
      <c r="M237" s="29">
        <f>IF(K237="Hit",L237,IF(K237="No Hit",-J237,""))</f>
        <v/>
      </c>
      <c r="N237" s="29">
        <f>IF(M237="","",SUM($M$2:M237))</f>
        <v/>
      </c>
      <c r="O237" s="25" t="n"/>
    </row>
    <row r="238">
      <c r="A238" s="24" t="n"/>
      <c r="B238" s="25" t="n"/>
      <c r="C238" s="25" t="n"/>
      <c r="D238" s="25" t="n"/>
      <c r="E238" s="26" t="n"/>
      <c r="F238" s="27" t="n"/>
      <c r="G238" s="27" t="n"/>
      <c r="H238" s="27" t="n"/>
      <c r="I238" s="27" t="n"/>
      <c r="J238" s="28" t="n"/>
      <c r="K238" s="27" t="n"/>
      <c r="L238" s="28">
        <f>IF(OR(I238="",J238=""),"",IF(I238&gt;0,J238*(I238/100),J238*(100/(-I238))))</f>
        <v/>
      </c>
      <c r="M238" s="29">
        <f>IF(K238="Hit",L238,IF(K238="No Hit",-J238,""))</f>
        <v/>
      </c>
      <c r="N238" s="29">
        <f>IF(M238="","",SUM($M$2:M238))</f>
        <v/>
      </c>
      <c r="O238" s="25" t="n"/>
    </row>
    <row r="239">
      <c r="A239" s="24" t="n"/>
      <c r="B239" s="25" t="n"/>
      <c r="C239" s="25" t="n"/>
      <c r="D239" s="25" t="n"/>
      <c r="E239" s="26" t="n"/>
      <c r="F239" s="27" t="n"/>
      <c r="G239" s="27" t="n"/>
      <c r="H239" s="27" t="n"/>
      <c r="I239" s="27" t="n"/>
      <c r="J239" s="28" t="n"/>
      <c r="K239" s="27" t="n"/>
      <c r="L239" s="28">
        <f>IF(OR(I239="",J239=""),"",IF(I239&gt;0,J239*(I239/100),J239*(100/(-I239))))</f>
        <v/>
      </c>
      <c r="M239" s="29">
        <f>IF(K239="Hit",L239,IF(K239="No Hit",-J239,""))</f>
        <v/>
      </c>
      <c r="N239" s="29">
        <f>IF(M239="","",SUM($M$2:M239))</f>
        <v/>
      </c>
      <c r="O239" s="25" t="n"/>
    </row>
    <row r="240">
      <c r="A240" s="24" t="n"/>
      <c r="B240" s="25" t="n"/>
      <c r="C240" s="25" t="n"/>
      <c r="D240" s="25" t="n"/>
      <c r="E240" s="26" t="n"/>
      <c r="F240" s="27" t="n"/>
      <c r="G240" s="27" t="n"/>
      <c r="H240" s="27" t="n"/>
      <c r="I240" s="27" t="n"/>
      <c r="J240" s="28" t="n"/>
      <c r="K240" s="27" t="n"/>
      <c r="L240" s="28">
        <f>IF(OR(I240="",J240=""),"",IF(I240&gt;0,J240*(I240/100),J240*(100/(-I240))))</f>
        <v/>
      </c>
      <c r="M240" s="29">
        <f>IF(K240="Hit",L240,IF(K240="No Hit",-J240,""))</f>
        <v/>
      </c>
      <c r="N240" s="29">
        <f>IF(M240="","",SUM($M$2:M240))</f>
        <v/>
      </c>
      <c r="O240" s="25" t="n"/>
    </row>
    <row r="241">
      <c r="A241" s="24" t="n"/>
      <c r="B241" s="25" t="n"/>
      <c r="C241" s="25" t="n"/>
      <c r="D241" s="25" t="n"/>
      <c r="E241" s="26" t="n"/>
      <c r="F241" s="27" t="n"/>
      <c r="G241" s="27" t="n"/>
      <c r="H241" s="27" t="n"/>
      <c r="I241" s="27" t="n"/>
      <c r="J241" s="28" t="n"/>
      <c r="K241" s="27" t="n"/>
      <c r="L241" s="28">
        <f>IF(OR(I241="",J241=""),"",IF(I241&gt;0,J241*(I241/100),J241*(100/(-I241))))</f>
        <v/>
      </c>
      <c r="M241" s="29">
        <f>IF(K241="Hit",L241,IF(K241="No Hit",-J241,""))</f>
        <v/>
      </c>
      <c r="N241" s="29">
        <f>IF(M241="","",SUM($M$2:M241))</f>
        <v/>
      </c>
      <c r="O241" s="25" t="n"/>
    </row>
    <row r="242">
      <c r="A242" s="24" t="n"/>
      <c r="B242" s="25" t="n"/>
      <c r="C242" s="25" t="n"/>
      <c r="D242" s="25" t="n"/>
      <c r="E242" s="26" t="n"/>
      <c r="F242" s="27" t="n"/>
      <c r="G242" s="27" t="n"/>
      <c r="H242" s="27" t="n"/>
      <c r="I242" s="27" t="n"/>
      <c r="J242" s="28" t="n"/>
      <c r="K242" s="27" t="n"/>
      <c r="L242" s="28">
        <f>IF(OR(I242="",J242=""),"",IF(I242&gt;0,J242*(I242/100),J242*(100/(-I242))))</f>
        <v/>
      </c>
      <c r="M242" s="29">
        <f>IF(K242="Hit",L242,IF(K242="No Hit",-J242,""))</f>
        <v/>
      </c>
      <c r="N242" s="29">
        <f>IF(M242="","",SUM($M$2:M242))</f>
        <v/>
      </c>
      <c r="O242" s="25" t="n"/>
    </row>
    <row r="243">
      <c r="A243" s="24" t="n"/>
      <c r="B243" s="25" t="n"/>
      <c r="C243" s="25" t="n"/>
      <c r="D243" s="25" t="n"/>
      <c r="E243" s="26" t="n"/>
      <c r="F243" s="27" t="n"/>
      <c r="G243" s="27" t="n"/>
      <c r="H243" s="27" t="n"/>
      <c r="I243" s="27" t="n"/>
      <c r="J243" s="28" t="n"/>
      <c r="K243" s="27" t="n"/>
      <c r="L243" s="28">
        <f>IF(OR(I243="",J243=""),"",IF(I243&gt;0,J243*(I243/100),J243*(100/(-I243))))</f>
        <v/>
      </c>
      <c r="M243" s="29">
        <f>IF(K243="Hit",L243,IF(K243="No Hit",-J243,""))</f>
        <v/>
      </c>
      <c r="N243" s="29">
        <f>IF(M243="","",SUM($M$2:M243))</f>
        <v/>
      </c>
      <c r="O243" s="25" t="n"/>
    </row>
    <row r="244">
      <c r="A244" s="24" t="n"/>
      <c r="B244" s="25" t="n"/>
      <c r="C244" s="25" t="n"/>
      <c r="D244" s="25" t="n"/>
      <c r="E244" s="26" t="n"/>
      <c r="F244" s="27" t="n"/>
      <c r="G244" s="27" t="n"/>
      <c r="H244" s="27" t="n"/>
      <c r="I244" s="27" t="n"/>
      <c r="J244" s="28" t="n"/>
      <c r="K244" s="27" t="n"/>
      <c r="L244" s="28">
        <f>IF(OR(I244="",J244=""),"",IF(I244&gt;0,J244*(I244/100),J244*(100/(-I244))))</f>
        <v/>
      </c>
      <c r="M244" s="29">
        <f>IF(K244="Hit",L244,IF(K244="No Hit",-J244,""))</f>
        <v/>
      </c>
      <c r="N244" s="29">
        <f>IF(M244="","",SUM($M$2:M244))</f>
        <v/>
      </c>
      <c r="O244" s="25" t="n"/>
    </row>
    <row r="245">
      <c r="A245" s="24" t="n"/>
      <c r="B245" s="25" t="n"/>
      <c r="C245" s="25" t="n"/>
      <c r="D245" s="25" t="n"/>
      <c r="E245" s="26" t="n"/>
      <c r="F245" s="27" t="n"/>
      <c r="G245" s="27" t="n"/>
      <c r="H245" s="27" t="n"/>
      <c r="I245" s="27" t="n"/>
      <c r="J245" s="28" t="n"/>
      <c r="K245" s="27" t="n"/>
      <c r="L245" s="28">
        <f>IF(OR(I245="",J245=""),"",IF(I245&gt;0,J245*(I245/100),J245*(100/(-I245))))</f>
        <v/>
      </c>
      <c r="M245" s="29">
        <f>IF(K245="Hit",L245,IF(K245="No Hit",-J245,""))</f>
        <v/>
      </c>
      <c r="N245" s="29">
        <f>IF(M245="","",SUM($M$2:M245))</f>
        <v/>
      </c>
      <c r="O245" s="25" t="n"/>
    </row>
    <row r="246">
      <c r="A246" s="24" t="n"/>
      <c r="B246" s="25" t="n"/>
      <c r="C246" s="25" t="n"/>
      <c r="D246" s="25" t="n"/>
      <c r="E246" s="26" t="n"/>
      <c r="F246" s="27" t="n"/>
      <c r="G246" s="27" t="n"/>
      <c r="H246" s="27" t="n"/>
      <c r="I246" s="27" t="n"/>
      <c r="J246" s="28" t="n"/>
      <c r="K246" s="27" t="n"/>
      <c r="L246" s="28">
        <f>IF(OR(I246="",J246=""),"",IF(I246&gt;0,J246*(I246/100),J246*(100/(-I246))))</f>
        <v/>
      </c>
      <c r="M246" s="29">
        <f>IF(K246="Hit",L246,IF(K246="No Hit",-J246,""))</f>
        <v/>
      </c>
      <c r="N246" s="29">
        <f>IF(M246="","",SUM($M$2:M246))</f>
        <v/>
      </c>
      <c r="O246" s="25" t="n"/>
    </row>
    <row r="247">
      <c r="A247" s="24" t="n"/>
      <c r="B247" s="25" t="n"/>
      <c r="C247" s="25" t="n"/>
      <c r="D247" s="25" t="n"/>
      <c r="E247" s="26" t="n"/>
      <c r="F247" s="27" t="n"/>
      <c r="G247" s="27" t="n"/>
      <c r="H247" s="27" t="n"/>
      <c r="I247" s="27" t="n"/>
      <c r="J247" s="28" t="n"/>
      <c r="K247" s="27" t="n"/>
      <c r="L247" s="28">
        <f>IF(OR(I247="",J247=""),"",IF(I247&gt;0,J247*(I247/100),J247*(100/(-I247))))</f>
        <v/>
      </c>
      <c r="M247" s="29">
        <f>IF(K247="Hit",L247,IF(K247="No Hit",-J247,""))</f>
        <v/>
      </c>
      <c r="N247" s="29">
        <f>IF(M247="","",SUM($M$2:M247))</f>
        <v/>
      </c>
      <c r="O247" s="25" t="n"/>
    </row>
    <row r="248">
      <c r="A248" s="24" t="n"/>
      <c r="B248" s="25" t="n"/>
      <c r="C248" s="25" t="n"/>
      <c r="D248" s="25" t="n"/>
      <c r="E248" s="26" t="n"/>
      <c r="F248" s="27" t="n"/>
      <c r="G248" s="27" t="n"/>
      <c r="H248" s="27" t="n"/>
      <c r="I248" s="27" t="n"/>
      <c r="J248" s="28" t="n"/>
      <c r="K248" s="27" t="n"/>
      <c r="L248" s="28">
        <f>IF(OR(I248="",J248=""),"",IF(I248&gt;0,J248*(I248/100),J248*(100/(-I248))))</f>
        <v/>
      </c>
      <c r="M248" s="29">
        <f>IF(K248="Hit",L248,IF(K248="No Hit",-J248,""))</f>
        <v/>
      </c>
      <c r="N248" s="29">
        <f>IF(M248="","",SUM($M$2:M248))</f>
        <v/>
      </c>
      <c r="O248" s="25" t="n"/>
    </row>
    <row r="249">
      <c r="A249" s="24" t="n"/>
      <c r="B249" s="25" t="n"/>
      <c r="C249" s="25" t="n"/>
      <c r="D249" s="25" t="n"/>
      <c r="E249" s="26" t="n"/>
      <c r="F249" s="27" t="n"/>
      <c r="G249" s="27" t="n"/>
      <c r="H249" s="27" t="n"/>
      <c r="I249" s="27" t="n"/>
      <c r="J249" s="28" t="n"/>
      <c r="K249" s="27" t="n"/>
      <c r="L249" s="28">
        <f>IF(OR(I249="",J249=""),"",IF(I249&gt;0,J249*(I249/100),J249*(100/(-I249))))</f>
        <v/>
      </c>
      <c r="M249" s="29">
        <f>IF(K249="Hit",L249,IF(K249="No Hit",-J249,""))</f>
        <v/>
      </c>
      <c r="N249" s="29">
        <f>IF(M249="","",SUM($M$2:M249))</f>
        <v/>
      </c>
      <c r="O249" s="25" t="n"/>
    </row>
    <row r="250">
      <c r="A250" s="24" t="n"/>
      <c r="B250" s="25" t="n"/>
      <c r="C250" s="25" t="n"/>
      <c r="D250" s="25" t="n"/>
      <c r="E250" s="26" t="n"/>
      <c r="F250" s="27" t="n"/>
      <c r="G250" s="27" t="n"/>
      <c r="H250" s="27" t="n"/>
      <c r="I250" s="27" t="n"/>
      <c r="J250" s="28" t="n"/>
      <c r="K250" s="27" t="n"/>
      <c r="L250" s="28">
        <f>IF(OR(I250="",J250=""),"",IF(I250&gt;0,J250*(I250/100),J250*(100/(-I250))))</f>
        <v/>
      </c>
      <c r="M250" s="29">
        <f>IF(K250="Hit",L250,IF(K250="No Hit",-J250,""))</f>
        <v/>
      </c>
      <c r="N250" s="29">
        <f>IF(M250="","",SUM($M$2:M250))</f>
        <v/>
      </c>
      <c r="O250" s="25" t="n"/>
    </row>
    <row r="251">
      <c r="A251" s="24" t="n"/>
      <c r="B251" s="25" t="n"/>
      <c r="C251" s="25" t="n"/>
      <c r="D251" s="25" t="n"/>
      <c r="E251" s="26" t="n"/>
      <c r="F251" s="27" t="n"/>
      <c r="G251" s="27" t="n"/>
      <c r="H251" s="27" t="n"/>
      <c r="I251" s="27" t="n"/>
      <c r="J251" s="28" t="n"/>
      <c r="K251" s="27" t="n"/>
      <c r="L251" s="28">
        <f>IF(OR(I251="",J251=""),"",IF(I251&gt;0,J251*(I251/100),J251*(100/(-I251))))</f>
        <v/>
      </c>
      <c r="M251" s="29">
        <f>IF(K251="Hit",L251,IF(K251="No Hit",-J251,""))</f>
        <v/>
      </c>
      <c r="N251" s="29">
        <f>IF(M251="","",SUM($M$2:M251))</f>
        <v/>
      </c>
      <c r="O251" s="25" t="n"/>
    </row>
    <row r="252">
      <c r="A252" s="24" t="n"/>
      <c r="B252" s="25" t="n"/>
      <c r="C252" s="25" t="n"/>
      <c r="D252" s="25" t="n"/>
      <c r="E252" s="26" t="n"/>
      <c r="F252" s="27" t="n"/>
      <c r="G252" s="27" t="n"/>
      <c r="H252" s="27" t="n"/>
      <c r="I252" s="27" t="n"/>
      <c r="J252" s="28" t="n"/>
      <c r="K252" s="27" t="n"/>
      <c r="L252" s="28">
        <f>IF(OR(I252="",J252=""),"",IF(I252&gt;0,J252*(I252/100),J252*(100/(-I252))))</f>
        <v/>
      </c>
      <c r="M252" s="29">
        <f>IF(K252="Hit",L252,IF(K252="No Hit",-J252,""))</f>
        <v/>
      </c>
      <c r="N252" s="29">
        <f>IF(M252="","",SUM($M$2:M252))</f>
        <v/>
      </c>
      <c r="O252" s="25" t="n"/>
    </row>
    <row r="253">
      <c r="A253" s="24" t="n"/>
      <c r="B253" s="25" t="n"/>
      <c r="C253" s="25" t="n"/>
      <c r="D253" s="25" t="n"/>
      <c r="E253" s="26" t="n"/>
      <c r="F253" s="27" t="n"/>
      <c r="G253" s="27" t="n"/>
      <c r="H253" s="27" t="n"/>
      <c r="I253" s="27" t="n"/>
      <c r="J253" s="28" t="n"/>
      <c r="K253" s="27" t="n"/>
      <c r="L253" s="28">
        <f>IF(OR(I253="",J253=""),"",IF(I253&gt;0,J253*(I253/100),J253*(100/(-I253))))</f>
        <v/>
      </c>
      <c r="M253" s="29">
        <f>IF(K253="Hit",L253,IF(K253="No Hit",-J253,""))</f>
        <v/>
      </c>
      <c r="N253" s="29">
        <f>IF(M253="","",SUM($M$2:M253))</f>
        <v/>
      </c>
      <c r="O253" s="25" t="n"/>
    </row>
    <row r="254">
      <c r="A254" s="24" t="n"/>
      <c r="B254" s="25" t="n"/>
      <c r="C254" s="25" t="n"/>
      <c r="D254" s="25" t="n"/>
      <c r="E254" s="26" t="n"/>
      <c r="F254" s="27" t="n"/>
      <c r="G254" s="27" t="n"/>
      <c r="H254" s="27" t="n"/>
      <c r="I254" s="27" t="n"/>
      <c r="J254" s="28" t="n"/>
      <c r="K254" s="27" t="n"/>
      <c r="L254" s="28">
        <f>IF(OR(I254="",J254=""),"",IF(I254&gt;0,J254*(I254/100),J254*(100/(-I254))))</f>
        <v/>
      </c>
      <c r="M254" s="29">
        <f>IF(K254="Hit",L254,IF(K254="No Hit",-J254,""))</f>
        <v/>
      </c>
      <c r="N254" s="29">
        <f>IF(M254="","",SUM($M$2:M254))</f>
        <v/>
      </c>
      <c r="O254" s="25" t="n"/>
    </row>
    <row r="255">
      <c r="A255" s="24" t="n"/>
      <c r="B255" s="25" t="n"/>
      <c r="C255" s="25" t="n"/>
      <c r="D255" s="25" t="n"/>
      <c r="E255" s="26" t="n"/>
      <c r="F255" s="27" t="n"/>
      <c r="G255" s="27" t="n"/>
      <c r="H255" s="27" t="n"/>
      <c r="I255" s="27" t="n"/>
      <c r="J255" s="28" t="n"/>
      <c r="K255" s="27" t="n"/>
      <c r="L255" s="28">
        <f>IF(OR(I255="",J255=""),"",IF(I255&gt;0,J255*(I255/100),J255*(100/(-I255))))</f>
        <v/>
      </c>
      <c r="M255" s="29">
        <f>IF(K255="Hit",L255,IF(K255="No Hit",-J255,""))</f>
        <v/>
      </c>
      <c r="N255" s="29">
        <f>IF(M255="","",SUM($M$2:M255))</f>
        <v/>
      </c>
      <c r="O255" s="25" t="n"/>
    </row>
    <row r="256">
      <c r="A256" s="24" t="n"/>
      <c r="B256" s="25" t="n"/>
      <c r="C256" s="25" t="n"/>
      <c r="D256" s="25" t="n"/>
      <c r="E256" s="26" t="n"/>
      <c r="F256" s="27" t="n"/>
      <c r="G256" s="27" t="n"/>
      <c r="H256" s="27" t="n"/>
      <c r="I256" s="27" t="n"/>
      <c r="J256" s="28" t="n"/>
      <c r="K256" s="27" t="n"/>
      <c r="L256" s="28">
        <f>IF(OR(I256="",J256=""),"",IF(I256&gt;0,J256*(I256/100),J256*(100/(-I256))))</f>
        <v/>
      </c>
      <c r="M256" s="29">
        <f>IF(K256="Hit",L256,IF(K256="No Hit",-J256,""))</f>
        <v/>
      </c>
      <c r="N256" s="29">
        <f>IF(M256="","",SUM($M$2:M256))</f>
        <v/>
      </c>
      <c r="O256" s="25" t="n"/>
    </row>
    <row r="257">
      <c r="A257" s="24" t="n"/>
      <c r="B257" s="25" t="n"/>
      <c r="C257" s="25" t="n"/>
      <c r="D257" s="25" t="n"/>
      <c r="E257" s="26" t="n"/>
      <c r="F257" s="27" t="n"/>
      <c r="G257" s="27" t="n"/>
      <c r="H257" s="27" t="n"/>
      <c r="I257" s="27" t="n"/>
      <c r="J257" s="28" t="n"/>
      <c r="K257" s="27" t="n"/>
      <c r="L257" s="28">
        <f>IF(OR(I257="",J257=""),"",IF(I257&gt;0,J257*(I257/100),J257*(100/(-I257))))</f>
        <v/>
      </c>
      <c r="M257" s="29">
        <f>IF(K257="Hit",L257,IF(K257="No Hit",-J257,""))</f>
        <v/>
      </c>
      <c r="N257" s="29">
        <f>IF(M257="","",SUM($M$2:M257))</f>
        <v/>
      </c>
      <c r="O257" s="25" t="n"/>
    </row>
    <row r="258">
      <c r="A258" s="24" t="n"/>
      <c r="B258" s="25" t="n"/>
      <c r="C258" s="25" t="n"/>
      <c r="D258" s="25" t="n"/>
      <c r="E258" s="26" t="n"/>
      <c r="F258" s="27" t="n"/>
      <c r="G258" s="27" t="n"/>
      <c r="H258" s="27" t="n"/>
      <c r="I258" s="27" t="n"/>
      <c r="J258" s="28" t="n"/>
      <c r="K258" s="27" t="n"/>
      <c r="L258" s="28">
        <f>IF(OR(I258="",J258=""),"",IF(I258&gt;0,J258*(I258/100),J258*(100/(-I258))))</f>
        <v/>
      </c>
      <c r="M258" s="29">
        <f>IF(K258="Hit",L258,IF(K258="No Hit",-J258,""))</f>
        <v/>
      </c>
      <c r="N258" s="29">
        <f>IF(M258="","",SUM($M$2:M258))</f>
        <v/>
      </c>
      <c r="O258" s="25" t="n"/>
    </row>
    <row r="259">
      <c r="A259" s="24" t="n"/>
      <c r="B259" s="25" t="n"/>
      <c r="C259" s="25" t="n"/>
      <c r="D259" s="25" t="n"/>
      <c r="E259" s="26" t="n"/>
      <c r="F259" s="27" t="n"/>
      <c r="G259" s="27" t="n"/>
      <c r="H259" s="27" t="n"/>
      <c r="I259" s="27" t="n"/>
      <c r="J259" s="28" t="n"/>
      <c r="K259" s="27" t="n"/>
      <c r="L259" s="28">
        <f>IF(OR(I259="",J259=""),"",IF(I259&gt;0,J259*(I259/100),J259*(100/(-I259))))</f>
        <v/>
      </c>
      <c r="M259" s="29">
        <f>IF(K259="Hit",L259,IF(K259="No Hit",-J259,""))</f>
        <v/>
      </c>
      <c r="N259" s="29">
        <f>IF(M259="","",SUM($M$2:M259))</f>
        <v/>
      </c>
      <c r="O259" s="25" t="n"/>
    </row>
    <row r="260">
      <c r="A260" s="24" t="n"/>
      <c r="B260" s="25" t="n"/>
      <c r="C260" s="25" t="n"/>
      <c r="D260" s="25" t="n"/>
      <c r="E260" s="26" t="n"/>
      <c r="F260" s="27" t="n"/>
      <c r="G260" s="27" t="n"/>
      <c r="H260" s="27" t="n"/>
      <c r="I260" s="27" t="n"/>
      <c r="J260" s="28" t="n"/>
      <c r="K260" s="27" t="n"/>
      <c r="L260" s="28">
        <f>IF(OR(I260="",J260=""),"",IF(I260&gt;0,J260*(I260/100),J260*(100/(-I260))))</f>
        <v/>
      </c>
      <c r="M260" s="29">
        <f>IF(K260="Hit",L260,IF(K260="No Hit",-J260,""))</f>
        <v/>
      </c>
      <c r="N260" s="29">
        <f>IF(M260="","",SUM($M$2:M260))</f>
        <v/>
      </c>
      <c r="O260" s="25" t="n"/>
    </row>
    <row r="261">
      <c r="A261" s="24" t="n"/>
      <c r="B261" s="25" t="n"/>
      <c r="C261" s="25" t="n"/>
      <c r="D261" s="25" t="n"/>
      <c r="E261" s="26" t="n"/>
      <c r="F261" s="27" t="n"/>
      <c r="G261" s="27" t="n"/>
      <c r="H261" s="27" t="n"/>
      <c r="I261" s="27" t="n"/>
      <c r="J261" s="28" t="n"/>
      <c r="K261" s="27" t="n"/>
      <c r="L261" s="28">
        <f>IF(OR(I261="",J261=""),"",IF(I261&gt;0,J261*(I261/100),J261*(100/(-I261))))</f>
        <v/>
      </c>
      <c r="M261" s="29">
        <f>IF(K261="Hit",L261,IF(K261="No Hit",-J261,""))</f>
        <v/>
      </c>
      <c r="N261" s="29">
        <f>IF(M261="","",SUM($M$2:M261))</f>
        <v/>
      </c>
      <c r="O261" s="25" t="n"/>
    </row>
    <row r="262">
      <c r="A262" s="24" t="n"/>
      <c r="B262" s="25" t="n"/>
      <c r="C262" s="25" t="n"/>
      <c r="D262" s="25" t="n"/>
      <c r="E262" s="26" t="n"/>
      <c r="F262" s="27" t="n"/>
      <c r="G262" s="27" t="n"/>
      <c r="H262" s="27" t="n"/>
      <c r="I262" s="27" t="n"/>
      <c r="J262" s="28" t="n"/>
      <c r="K262" s="27" t="n"/>
      <c r="L262" s="28">
        <f>IF(OR(I262="",J262=""),"",IF(I262&gt;0,J262*(I262/100),J262*(100/(-I262))))</f>
        <v/>
      </c>
      <c r="M262" s="29">
        <f>IF(K262="Hit",L262,IF(K262="No Hit",-J262,""))</f>
        <v/>
      </c>
      <c r="N262" s="29">
        <f>IF(M262="","",SUM($M$2:M262))</f>
        <v/>
      </c>
      <c r="O262" s="25" t="n"/>
    </row>
    <row r="263">
      <c r="A263" s="24" t="n"/>
      <c r="B263" s="25" t="n"/>
      <c r="C263" s="25" t="n"/>
      <c r="D263" s="25" t="n"/>
      <c r="E263" s="26" t="n"/>
      <c r="F263" s="27" t="n"/>
      <c r="G263" s="27" t="n"/>
      <c r="H263" s="27" t="n"/>
      <c r="I263" s="27" t="n"/>
      <c r="J263" s="28" t="n"/>
      <c r="K263" s="27" t="n"/>
      <c r="L263" s="28">
        <f>IF(OR(I263="",J263=""),"",IF(I263&gt;0,J263*(I263/100),J263*(100/(-I263))))</f>
        <v/>
      </c>
      <c r="M263" s="29">
        <f>IF(K263="Hit",L263,IF(K263="No Hit",-J263,""))</f>
        <v/>
      </c>
      <c r="N263" s="29">
        <f>IF(M263="","",SUM($M$2:M263))</f>
        <v/>
      </c>
      <c r="O263" s="25" t="n"/>
    </row>
    <row r="264">
      <c r="A264" s="24" t="n"/>
      <c r="B264" s="25" t="n"/>
      <c r="C264" s="25" t="n"/>
      <c r="D264" s="25" t="n"/>
      <c r="E264" s="26" t="n"/>
      <c r="F264" s="27" t="n"/>
      <c r="G264" s="27" t="n"/>
      <c r="H264" s="27" t="n"/>
      <c r="I264" s="27" t="n"/>
      <c r="J264" s="28" t="n"/>
      <c r="K264" s="27" t="n"/>
      <c r="L264" s="28">
        <f>IF(OR(I264="",J264=""),"",IF(I264&gt;0,J264*(I264/100),J264*(100/(-I264))))</f>
        <v/>
      </c>
      <c r="M264" s="29">
        <f>IF(K264="Hit",L264,IF(K264="No Hit",-J264,""))</f>
        <v/>
      </c>
      <c r="N264" s="29">
        <f>IF(M264="","",SUM($M$2:M264))</f>
        <v/>
      </c>
      <c r="O264" s="25" t="n"/>
    </row>
    <row r="265">
      <c r="A265" s="24" t="n"/>
      <c r="B265" s="25" t="n"/>
      <c r="C265" s="25" t="n"/>
      <c r="D265" s="25" t="n"/>
      <c r="E265" s="26" t="n"/>
      <c r="F265" s="27" t="n"/>
      <c r="G265" s="27" t="n"/>
      <c r="H265" s="27" t="n"/>
      <c r="I265" s="27" t="n"/>
      <c r="J265" s="28" t="n"/>
      <c r="K265" s="27" t="n"/>
      <c r="L265" s="28">
        <f>IF(OR(I265="",J265=""),"",IF(I265&gt;0,J265*(I265/100),J265*(100/(-I265))))</f>
        <v/>
      </c>
      <c r="M265" s="29">
        <f>IF(K265="Hit",L265,IF(K265="No Hit",-J265,""))</f>
        <v/>
      </c>
      <c r="N265" s="29">
        <f>IF(M265="","",SUM($M$2:M265))</f>
        <v/>
      </c>
      <c r="O265" s="25" t="n"/>
    </row>
    <row r="266">
      <c r="A266" s="24" t="n"/>
      <c r="B266" s="25" t="n"/>
      <c r="C266" s="25" t="n"/>
      <c r="D266" s="25" t="n"/>
      <c r="E266" s="26" t="n"/>
      <c r="F266" s="27" t="n"/>
      <c r="G266" s="27" t="n"/>
      <c r="H266" s="27" t="n"/>
      <c r="I266" s="27" t="n"/>
      <c r="J266" s="28" t="n"/>
      <c r="K266" s="27" t="n"/>
      <c r="L266" s="28">
        <f>IF(OR(I266="",J266=""),"",IF(I266&gt;0,J266*(I266/100),J266*(100/(-I266))))</f>
        <v/>
      </c>
      <c r="M266" s="29">
        <f>IF(K266="Hit",L266,IF(K266="No Hit",-J266,""))</f>
        <v/>
      </c>
      <c r="N266" s="29">
        <f>IF(M266="","",SUM($M$2:M266))</f>
        <v/>
      </c>
      <c r="O266" s="25" t="n"/>
    </row>
    <row r="267">
      <c r="A267" s="24" t="n"/>
      <c r="B267" s="25" t="n"/>
      <c r="C267" s="25" t="n"/>
      <c r="D267" s="25" t="n"/>
      <c r="E267" s="26" t="n"/>
      <c r="F267" s="27" t="n"/>
      <c r="G267" s="27" t="n"/>
      <c r="H267" s="27" t="n"/>
      <c r="I267" s="27" t="n"/>
      <c r="J267" s="28" t="n"/>
      <c r="K267" s="27" t="n"/>
      <c r="L267" s="28">
        <f>IF(OR(I267="",J267=""),"",IF(I267&gt;0,J267*(I267/100),J267*(100/(-I267))))</f>
        <v/>
      </c>
      <c r="M267" s="29">
        <f>IF(K267="Hit",L267,IF(K267="No Hit",-J267,""))</f>
        <v/>
      </c>
      <c r="N267" s="29">
        <f>IF(M267="","",SUM($M$2:M267))</f>
        <v/>
      </c>
      <c r="O267" s="25" t="n"/>
    </row>
    <row r="268">
      <c r="A268" s="24" t="n"/>
      <c r="B268" s="25" t="n"/>
      <c r="C268" s="25" t="n"/>
      <c r="D268" s="25" t="n"/>
      <c r="E268" s="26" t="n"/>
      <c r="F268" s="27" t="n"/>
      <c r="G268" s="27" t="n"/>
      <c r="H268" s="27" t="n"/>
      <c r="I268" s="27" t="n"/>
      <c r="J268" s="28" t="n"/>
      <c r="K268" s="27" t="n"/>
      <c r="L268" s="28">
        <f>IF(OR(I268="",J268=""),"",IF(I268&gt;0,J268*(I268/100),J268*(100/(-I268))))</f>
        <v/>
      </c>
      <c r="M268" s="29">
        <f>IF(K268="Hit",L268,IF(K268="No Hit",-J268,""))</f>
        <v/>
      </c>
      <c r="N268" s="29">
        <f>IF(M268="","",SUM($M$2:M268))</f>
        <v/>
      </c>
      <c r="O268" s="25" t="n"/>
    </row>
    <row r="269">
      <c r="A269" s="24" t="n"/>
      <c r="B269" s="25" t="n"/>
      <c r="C269" s="25" t="n"/>
      <c r="D269" s="25" t="n"/>
      <c r="E269" s="26" t="n"/>
      <c r="F269" s="27" t="n"/>
      <c r="G269" s="27" t="n"/>
      <c r="H269" s="27" t="n"/>
      <c r="I269" s="27" t="n"/>
      <c r="J269" s="28" t="n"/>
      <c r="K269" s="27" t="n"/>
      <c r="L269" s="28">
        <f>IF(OR(I269="",J269=""),"",IF(I269&gt;0,J269*(I269/100),J269*(100/(-I269))))</f>
        <v/>
      </c>
      <c r="M269" s="29">
        <f>IF(K269="Hit",L269,IF(K269="No Hit",-J269,""))</f>
        <v/>
      </c>
      <c r="N269" s="29">
        <f>IF(M269="","",SUM($M$2:M269))</f>
        <v/>
      </c>
      <c r="O269" s="25" t="n"/>
    </row>
    <row r="270">
      <c r="A270" s="24" t="n"/>
      <c r="B270" s="25" t="n"/>
      <c r="C270" s="25" t="n"/>
      <c r="D270" s="25" t="n"/>
      <c r="E270" s="26" t="n"/>
      <c r="F270" s="27" t="n"/>
      <c r="G270" s="27" t="n"/>
      <c r="H270" s="27" t="n"/>
      <c r="I270" s="27" t="n"/>
      <c r="J270" s="28" t="n"/>
      <c r="K270" s="27" t="n"/>
      <c r="L270" s="28">
        <f>IF(OR(I270="",J270=""),"",IF(I270&gt;0,J270*(I270/100),J270*(100/(-I270))))</f>
        <v/>
      </c>
      <c r="M270" s="29">
        <f>IF(K270="Hit",L270,IF(K270="No Hit",-J270,""))</f>
        <v/>
      </c>
      <c r="N270" s="29">
        <f>IF(M270="","",SUM($M$2:M270))</f>
        <v/>
      </c>
      <c r="O270" s="25" t="n"/>
    </row>
    <row r="271">
      <c r="A271" s="24" t="n"/>
      <c r="B271" s="25" t="n"/>
      <c r="C271" s="25" t="n"/>
      <c r="D271" s="25" t="n"/>
      <c r="E271" s="26" t="n"/>
      <c r="F271" s="27" t="n"/>
      <c r="G271" s="27" t="n"/>
      <c r="H271" s="27" t="n"/>
      <c r="I271" s="27" t="n"/>
      <c r="J271" s="28" t="n"/>
      <c r="K271" s="27" t="n"/>
      <c r="L271" s="28">
        <f>IF(OR(I271="",J271=""),"",IF(I271&gt;0,J271*(I271/100),J271*(100/(-I271))))</f>
        <v/>
      </c>
      <c r="M271" s="29">
        <f>IF(K271="Hit",L271,IF(K271="No Hit",-J271,""))</f>
        <v/>
      </c>
      <c r="N271" s="29">
        <f>IF(M271="","",SUM($M$2:M271))</f>
        <v/>
      </c>
      <c r="O271" s="25" t="n"/>
    </row>
    <row r="272">
      <c r="A272" s="24" t="n"/>
      <c r="B272" s="25" t="n"/>
      <c r="C272" s="25" t="n"/>
      <c r="D272" s="25" t="n"/>
      <c r="E272" s="26" t="n"/>
      <c r="F272" s="27" t="n"/>
      <c r="G272" s="27" t="n"/>
      <c r="H272" s="27" t="n"/>
      <c r="I272" s="27" t="n"/>
      <c r="J272" s="28" t="n"/>
      <c r="K272" s="27" t="n"/>
      <c r="L272" s="28">
        <f>IF(OR(I272="",J272=""),"",IF(I272&gt;0,J272*(I272/100),J272*(100/(-I272))))</f>
        <v/>
      </c>
      <c r="M272" s="29">
        <f>IF(K272="Hit",L272,IF(K272="No Hit",-J272,""))</f>
        <v/>
      </c>
      <c r="N272" s="29">
        <f>IF(M272="","",SUM($M$2:M272))</f>
        <v/>
      </c>
      <c r="O272" s="25" t="n"/>
    </row>
    <row r="273">
      <c r="A273" s="24" t="n"/>
      <c r="B273" s="25" t="n"/>
      <c r="C273" s="25" t="n"/>
      <c r="D273" s="25" t="n"/>
      <c r="E273" s="26" t="n"/>
      <c r="F273" s="27" t="n"/>
      <c r="G273" s="27" t="n"/>
      <c r="H273" s="27" t="n"/>
      <c r="I273" s="27" t="n"/>
      <c r="J273" s="28" t="n"/>
      <c r="K273" s="27" t="n"/>
      <c r="L273" s="28">
        <f>IF(OR(I273="",J273=""),"",IF(I273&gt;0,J273*(I273/100),J273*(100/(-I273))))</f>
        <v/>
      </c>
      <c r="M273" s="29">
        <f>IF(K273="Hit",L273,IF(K273="No Hit",-J273,""))</f>
        <v/>
      </c>
      <c r="N273" s="29">
        <f>IF(M273="","",SUM($M$2:M273))</f>
        <v/>
      </c>
      <c r="O273" s="25" t="n"/>
    </row>
    <row r="274">
      <c r="A274" s="24" t="n"/>
      <c r="B274" s="25" t="n"/>
      <c r="C274" s="25" t="n"/>
      <c r="D274" s="25" t="n"/>
      <c r="E274" s="26" t="n"/>
      <c r="F274" s="27" t="n"/>
      <c r="G274" s="27" t="n"/>
      <c r="H274" s="27" t="n"/>
      <c r="I274" s="27" t="n"/>
      <c r="J274" s="28" t="n"/>
      <c r="K274" s="27" t="n"/>
      <c r="L274" s="28">
        <f>IF(OR(I274="",J274=""),"",IF(I274&gt;0,J274*(I274/100),J274*(100/(-I274))))</f>
        <v/>
      </c>
      <c r="M274" s="29">
        <f>IF(K274="Hit",L274,IF(K274="No Hit",-J274,""))</f>
        <v/>
      </c>
      <c r="N274" s="29">
        <f>IF(M274="","",SUM($M$2:M274))</f>
        <v/>
      </c>
      <c r="O274" s="25" t="n"/>
    </row>
    <row r="275">
      <c r="A275" s="24" t="n"/>
      <c r="B275" s="25" t="n"/>
      <c r="C275" s="25" t="n"/>
      <c r="D275" s="25" t="n"/>
      <c r="E275" s="26" t="n"/>
      <c r="F275" s="27" t="n"/>
      <c r="G275" s="27" t="n"/>
      <c r="H275" s="27" t="n"/>
      <c r="I275" s="27" t="n"/>
      <c r="J275" s="28" t="n"/>
      <c r="K275" s="27" t="n"/>
      <c r="L275" s="28">
        <f>IF(OR(I275="",J275=""),"",IF(I275&gt;0,J275*(I275/100),J275*(100/(-I275))))</f>
        <v/>
      </c>
      <c r="M275" s="29">
        <f>IF(K275="Hit",L275,IF(K275="No Hit",-J275,""))</f>
        <v/>
      </c>
      <c r="N275" s="29">
        <f>IF(M275="","",SUM($M$2:M275))</f>
        <v/>
      </c>
      <c r="O275" s="25" t="n"/>
    </row>
    <row r="276">
      <c r="A276" s="24" t="n"/>
      <c r="B276" s="25" t="n"/>
      <c r="C276" s="25" t="n"/>
      <c r="D276" s="25" t="n"/>
      <c r="E276" s="26" t="n"/>
      <c r="F276" s="27" t="n"/>
      <c r="G276" s="27" t="n"/>
      <c r="H276" s="27" t="n"/>
      <c r="I276" s="27" t="n"/>
      <c r="J276" s="28" t="n"/>
      <c r="K276" s="27" t="n"/>
      <c r="L276" s="28">
        <f>IF(OR(I276="",J276=""),"",IF(I276&gt;0,J276*(I276/100),J276*(100/(-I276))))</f>
        <v/>
      </c>
      <c r="M276" s="29">
        <f>IF(K276="Hit",L276,IF(K276="No Hit",-J276,""))</f>
        <v/>
      </c>
      <c r="N276" s="29">
        <f>IF(M276="","",SUM($M$2:M276))</f>
        <v/>
      </c>
      <c r="O276" s="25" t="n"/>
    </row>
    <row r="277">
      <c r="A277" s="24" t="n"/>
      <c r="B277" s="25" t="n"/>
      <c r="C277" s="25" t="n"/>
      <c r="D277" s="25" t="n"/>
      <c r="E277" s="26" t="n"/>
      <c r="F277" s="27" t="n"/>
      <c r="G277" s="27" t="n"/>
      <c r="H277" s="27" t="n"/>
      <c r="I277" s="27" t="n"/>
      <c r="J277" s="28" t="n"/>
      <c r="K277" s="27" t="n"/>
      <c r="L277" s="28">
        <f>IF(OR(I277="",J277=""),"",IF(I277&gt;0,J277*(I277/100),J277*(100/(-I277))))</f>
        <v/>
      </c>
      <c r="M277" s="29">
        <f>IF(K277="Hit",L277,IF(K277="No Hit",-J277,""))</f>
        <v/>
      </c>
      <c r="N277" s="29">
        <f>IF(M277="","",SUM($M$2:M277))</f>
        <v/>
      </c>
      <c r="O277" s="25" t="n"/>
    </row>
    <row r="278">
      <c r="A278" s="24" t="n"/>
      <c r="B278" s="25" t="n"/>
      <c r="C278" s="25" t="n"/>
      <c r="D278" s="25" t="n"/>
      <c r="E278" s="26" t="n"/>
      <c r="F278" s="27" t="n"/>
      <c r="G278" s="27" t="n"/>
      <c r="H278" s="27" t="n"/>
      <c r="I278" s="27" t="n"/>
      <c r="J278" s="28" t="n"/>
      <c r="K278" s="27" t="n"/>
      <c r="L278" s="28">
        <f>IF(OR(I278="",J278=""),"",IF(I278&gt;0,J278*(I278/100),J278*(100/(-I278))))</f>
        <v/>
      </c>
      <c r="M278" s="29">
        <f>IF(K278="Hit",L278,IF(K278="No Hit",-J278,""))</f>
        <v/>
      </c>
      <c r="N278" s="29">
        <f>IF(M278="","",SUM($M$2:M278))</f>
        <v/>
      </c>
      <c r="O278" s="25" t="n"/>
    </row>
    <row r="279">
      <c r="A279" s="24" t="n"/>
      <c r="B279" s="25" t="n"/>
      <c r="C279" s="25" t="n"/>
      <c r="D279" s="25" t="n"/>
      <c r="E279" s="26" t="n"/>
      <c r="F279" s="27" t="n"/>
      <c r="G279" s="27" t="n"/>
      <c r="H279" s="27" t="n"/>
      <c r="I279" s="27" t="n"/>
      <c r="J279" s="28" t="n"/>
      <c r="K279" s="27" t="n"/>
      <c r="L279" s="28">
        <f>IF(OR(I279="",J279=""),"",IF(I279&gt;0,J279*(I279/100),J279*(100/(-I279))))</f>
        <v/>
      </c>
      <c r="M279" s="29">
        <f>IF(K279="Hit",L279,IF(K279="No Hit",-J279,""))</f>
        <v/>
      </c>
      <c r="N279" s="29">
        <f>IF(M279="","",SUM($M$2:M279))</f>
        <v/>
      </c>
      <c r="O279" s="25" t="n"/>
    </row>
    <row r="280">
      <c r="A280" s="24" t="n"/>
      <c r="B280" s="25" t="n"/>
      <c r="C280" s="25" t="n"/>
      <c r="D280" s="25" t="n"/>
      <c r="E280" s="26" t="n"/>
      <c r="F280" s="27" t="n"/>
      <c r="G280" s="27" t="n"/>
      <c r="H280" s="27" t="n"/>
      <c r="I280" s="27" t="n"/>
      <c r="J280" s="28" t="n"/>
      <c r="K280" s="27" t="n"/>
      <c r="L280" s="28">
        <f>IF(OR(I280="",J280=""),"",IF(I280&gt;0,J280*(I280/100),J280*(100/(-I280))))</f>
        <v/>
      </c>
      <c r="M280" s="29">
        <f>IF(K280="Hit",L280,IF(K280="No Hit",-J280,""))</f>
        <v/>
      </c>
      <c r="N280" s="29">
        <f>IF(M280="","",SUM($M$2:M280))</f>
        <v/>
      </c>
      <c r="O280" s="25" t="n"/>
    </row>
    <row r="281">
      <c r="A281" s="24" t="n"/>
      <c r="B281" s="25" t="n"/>
      <c r="C281" s="25" t="n"/>
      <c r="D281" s="25" t="n"/>
      <c r="E281" s="26" t="n"/>
      <c r="F281" s="27" t="n"/>
      <c r="G281" s="27" t="n"/>
      <c r="H281" s="27" t="n"/>
      <c r="I281" s="27" t="n"/>
      <c r="J281" s="28" t="n"/>
      <c r="K281" s="27" t="n"/>
      <c r="L281" s="28">
        <f>IF(OR(I281="",J281=""),"",IF(I281&gt;0,J281*(I281/100),J281*(100/(-I281))))</f>
        <v/>
      </c>
      <c r="M281" s="29">
        <f>IF(K281="Hit",L281,IF(K281="No Hit",-J281,""))</f>
        <v/>
      </c>
      <c r="N281" s="29">
        <f>IF(M281="","",SUM($M$2:M281))</f>
        <v/>
      </c>
      <c r="O281" s="25" t="n"/>
    </row>
    <row r="282">
      <c r="A282" s="24" t="n"/>
      <c r="B282" s="25" t="n"/>
      <c r="C282" s="25" t="n"/>
      <c r="D282" s="25" t="n"/>
      <c r="E282" s="26" t="n"/>
      <c r="F282" s="27" t="n"/>
      <c r="G282" s="27" t="n"/>
      <c r="H282" s="27" t="n"/>
      <c r="I282" s="27" t="n"/>
      <c r="J282" s="28" t="n"/>
      <c r="K282" s="27" t="n"/>
      <c r="L282" s="28">
        <f>IF(OR(I282="",J282=""),"",IF(I282&gt;0,J282*(I282/100),J282*(100/(-I282))))</f>
        <v/>
      </c>
      <c r="M282" s="29">
        <f>IF(K282="Hit",L282,IF(K282="No Hit",-J282,""))</f>
        <v/>
      </c>
      <c r="N282" s="29">
        <f>IF(M282="","",SUM($M$2:M282))</f>
        <v/>
      </c>
      <c r="O282" s="25" t="n"/>
    </row>
    <row r="283">
      <c r="A283" s="24" t="n"/>
      <c r="B283" s="25" t="n"/>
      <c r="C283" s="25" t="n"/>
      <c r="D283" s="25" t="n"/>
      <c r="E283" s="26" t="n"/>
      <c r="F283" s="27" t="n"/>
      <c r="G283" s="27" t="n"/>
      <c r="H283" s="27" t="n"/>
      <c r="I283" s="27" t="n"/>
      <c r="J283" s="28" t="n"/>
      <c r="K283" s="27" t="n"/>
      <c r="L283" s="28">
        <f>IF(OR(I283="",J283=""),"",IF(I283&gt;0,J283*(I283/100),J283*(100/(-I283))))</f>
        <v/>
      </c>
      <c r="M283" s="29">
        <f>IF(K283="Hit",L283,IF(K283="No Hit",-J283,""))</f>
        <v/>
      </c>
      <c r="N283" s="29">
        <f>IF(M283="","",SUM($M$2:M283))</f>
        <v/>
      </c>
      <c r="O283" s="25" t="n"/>
    </row>
    <row r="284">
      <c r="A284" s="24" t="n"/>
      <c r="B284" s="25" t="n"/>
      <c r="C284" s="25" t="n"/>
      <c r="D284" s="25" t="n"/>
      <c r="E284" s="26" t="n"/>
      <c r="F284" s="27" t="n"/>
      <c r="G284" s="27" t="n"/>
      <c r="H284" s="27" t="n"/>
      <c r="I284" s="27" t="n"/>
      <c r="J284" s="28" t="n"/>
      <c r="K284" s="27" t="n"/>
      <c r="L284" s="28">
        <f>IF(OR(I284="",J284=""),"",IF(I284&gt;0,J284*(I284/100),J284*(100/(-I284))))</f>
        <v/>
      </c>
      <c r="M284" s="29">
        <f>IF(K284="Hit",L284,IF(K284="No Hit",-J284,""))</f>
        <v/>
      </c>
      <c r="N284" s="29">
        <f>IF(M284="","",SUM($M$2:M284))</f>
        <v/>
      </c>
      <c r="O284" s="25" t="n"/>
    </row>
    <row r="285">
      <c r="A285" s="24" t="n"/>
      <c r="B285" s="25" t="n"/>
      <c r="C285" s="25" t="n"/>
      <c r="D285" s="25" t="n"/>
      <c r="E285" s="26" t="n"/>
      <c r="F285" s="27" t="n"/>
      <c r="G285" s="27" t="n"/>
      <c r="H285" s="27" t="n"/>
      <c r="I285" s="27" t="n"/>
      <c r="J285" s="28" t="n"/>
      <c r="K285" s="27" t="n"/>
      <c r="L285" s="28">
        <f>IF(OR(I285="",J285=""),"",IF(I285&gt;0,J285*(I285/100),J285*(100/(-I285))))</f>
        <v/>
      </c>
      <c r="M285" s="29">
        <f>IF(K285="Hit",L285,IF(K285="No Hit",-J285,""))</f>
        <v/>
      </c>
      <c r="N285" s="29">
        <f>IF(M285="","",SUM($M$2:M285))</f>
        <v/>
      </c>
      <c r="O285" s="25" t="n"/>
    </row>
    <row r="286">
      <c r="A286" s="24" t="n"/>
      <c r="B286" s="25" t="n"/>
      <c r="C286" s="25" t="n"/>
      <c r="D286" s="25" t="n"/>
      <c r="E286" s="26" t="n"/>
      <c r="F286" s="27" t="n"/>
      <c r="G286" s="27" t="n"/>
      <c r="H286" s="27" t="n"/>
      <c r="I286" s="27" t="n"/>
      <c r="J286" s="28" t="n"/>
      <c r="K286" s="27" t="n"/>
      <c r="L286" s="28">
        <f>IF(OR(I286="",J286=""),"",IF(I286&gt;0,J286*(I286/100),J286*(100/(-I286))))</f>
        <v/>
      </c>
      <c r="M286" s="29">
        <f>IF(K286="Hit",L286,IF(K286="No Hit",-J286,""))</f>
        <v/>
      </c>
      <c r="N286" s="29">
        <f>IF(M286="","",SUM($M$2:M286))</f>
        <v/>
      </c>
      <c r="O286" s="25" t="n"/>
    </row>
    <row r="287">
      <c r="A287" s="24" t="n"/>
      <c r="B287" s="25" t="n"/>
      <c r="C287" s="25" t="n"/>
      <c r="D287" s="25" t="n"/>
      <c r="E287" s="26" t="n"/>
      <c r="F287" s="27" t="n"/>
      <c r="G287" s="27" t="n"/>
      <c r="H287" s="27" t="n"/>
      <c r="I287" s="27" t="n"/>
      <c r="J287" s="28" t="n"/>
      <c r="K287" s="27" t="n"/>
      <c r="L287" s="28">
        <f>IF(OR(I287="",J287=""),"",IF(I287&gt;0,J287*(I287/100),J287*(100/(-I287))))</f>
        <v/>
      </c>
      <c r="M287" s="29">
        <f>IF(K287="Hit",L287,IF(K287="No Hit",-J287,""))</f>
        <v/>
      </c>
      <c r="N287" s="29">
        <f>IF(M287="","",SUM($M$2:M287))</f>
        <v/>
      </c>
      <c r="O287" s="25" t="n"/>
    </row>
    <row r="288">
      <c r="A288" s="24" t="n"/>
      <c r="B288" s="25" t="n"/>
      <c r="C288" s="25" t="n"/>
      <c r="D288" s="25" t="n"/>
      <c r="E288" s="26" t="n"/>
      <c r="F288" s="27" t="n"/>
      <c r="G288" s="27" t="n"/>
      <c r="H288" s="27" t="n"/>
      <c r="I288" s="27" t="n"/>
      <c r="J288" s="28" t="n"/>
      <c r="K288" s="27" t="n"/>
      <c r="L288" s="28">
        <f>IF(OR(I288="",J288=""),"",IF(I288&gt;0,J288*(I288/100),J288*(100/(-I288))))</f>
        <v/>
      </c>
      <c r="M288" s="29">
        <f>IF(K288="Hit",L288,IF(K288="No Hit",-J288,""))</f>
        <v/>
      </c>
      <c r="N288" s="29">
        <f>IF(M288="","",SUM($M$2:M288))</f>
        <v/>
      </c>
      <c r="O288" s="25" t="n"/>
    </row>
    <row r="289">
      <c r="A289" s="24" t="n"/>
      <c r="B289" s="25" t="n"/>
      <c r="C289" s="25" t="n"/>
      <c r="D289" s="25" t="n"/>
      <c r="E289" s="26" t="n"/>
      <c r="F289" s="27" t="n"/>
      <c r="G289" s="27" t="n"/>
      <c r="H289" s="27" t="n"/>
      <c r="I289" s="27" t="n"/>
      <c r="J289" s="28" t="n"/>
      <c r="K289" s="27" t="n"/>
      <c r="L289" s="28">
        <f>IF(OR(I289="",J289=""),"",IF(I289&gt;0,J289*(I289/100),J289*(100/(-I289))))</f>
        <v/>
      </c>
      <c r="M289" s="29">
        <f>IF(K289="Hit",L289,IF(K289="No Hit",-J289,""))</f>
        <v/>
      </c>
      <c r="N289" s="29">
        <f>IF(M289="","",SUM($M$2:M289))</f>
        <v/>
      </c>
      <c r="O289" s="25" t="n"/>
    </row>
    <row r="290">
      <c r="A290" s="24" t="n"/>
      <c r="B290" s="25" t="n"/>
      <c r="C290" s="25" t="n"/>
      <c r="D290" s="25" t="n"/>
      <c r="E290" s="26" t="n"/>
      <c r="F290" s="27" t="n"/>
      <c r="G290" s="27" t="n"/>
      <c r="H290" s="27" t="n"/>
      <c r="I290" s="27" t="n"/>
      <c r="J290" s="28" t="n"/>
      <c r="K290" s="27" t="n"/>
      <c r="L290" s="28">
        <f>IF(OR(I290="",J290=""),"",IF(I290&gt;0,J290*(I290/100),J290*(100/(-I290))))</f>
        <v/>
      </c>
      <c r="M290" s="29">
        <f>IF(K290="Hit",L290,IF(K290="No Hit",-J290,""))</f>
        <v/>
      </c>
      <c r="N290" s="29">
        <f>IF(M290="","",SUM($M$2:M290))</f>
        <v/>
      </c>
      <c r="O290" s="25" t="n"/>
    </row>
    <row r="291">
      <c r="A291" s="24" t="n"/>
      <c r="B291" s="25" t="n"/>
      <c r="C291" s="25" t="n"/>
      <c r="D291" s="25" t="n"/>
      <c r="E291" s="26" t="n"/>
      <c r="F291" s="27" t="n"/>
      <c r="G291" s="27" t="n"/>
      <c r="H291" s="27" t="n"/>
      <c r="I291" s="27" t="n"/>
      <c r="J291" s="28" t="n"/>
      <c r="K291" s="27" t="n"/>
      <c r="L291" s="28">
        <f>IF(OR(I291="",J291=""),"",IF(I291&gt;0,J291*(I291/100),J291*(100/(-I291))))</f>
        <v/>
      </c>
      <c r="M291" s="29">
        <f>IF(K291="Hit",L291,IF(K291="No Hit",-J291,""))</f>
        <v/>
      </c>
      <c r="N291" s="29">
        <f>IF(M291="","",SUM($M$2:M291))</f>
        <v/>
      </c>
      <c r="O291" s="25" t="n"/>
    </row>
    <row r="292">
      <c r="A292" s="24" t="n"/>
      <c r="B292" s="25" t="n"/>
      <c r="C292" s="25" t="n"/>
      <c r="D292" s="25" t="n"/>
      <c r="E292" s="26" t="n"/>
      <c r="F292" s="27" t="n"/>
      <c r="G292" s="27" t="n"/>
      <c r="H292" s="27" t="n"/>
      <c r="I292" s="27" t="n"/>
      <c r="J292" s="28" t="n"/>
      <c r="K292" s="27" t="n"/>
      <c r="L292" s="28">
        <f>IF(OR(I292="",J292=""),"",IF(I292&gt;0,J292*(I292/100),J292*(100/(-I292))))</f>
        <v/>
      </c>
      <c r="M292" s="29">
        <f>IF(K292="Hit",L292,IF(K292="No Hit",-J292,""))</f>
        <v/>
      </c>
      <c r="N292" s="29">
        <f>IF(M292="","",SUM($M$2:M292))</f>
        <v/>
      </c>
      <c r="O292" s="25" t="n"/>
    </row>
    <row r="293">
      <c r="A293" s="24" t="n"/>
      <c r="B293" s="25" t="n"/>
      <c r="C293" s="25" t="n"/>
      <c r="D293" s="25" t="n"/>
      <c r="E293" s="26" t="n"/>
      <c r="F293" s="27" t="n"/>
      <c r="G293" s="27" t="n"/>
      <c r="H293" s="27" t="n"/>
      <c r="I293" s="27" t="n"/>
      <c r="J293" s="28" t="n"/>
      <c r="K293" s="27" t="n"/>
      <c r="L293" s="28">
        <f>IF(OR(I293="",J293=""),"",IF(I293&gt;0,J293*(I293/100),J293*(100/(-I293))))</f>
        <v/>
      </c>
      <c r="M293" s="29">
        <f>IF(K293="Hit",L293,IF(K293="No Hit",-J293,""))</f>
        <v/>
      </c>
      <c r="N293" s="29">
        <f>IF(M293="","",SUM($M$2:M293))</f>
        <v/>
      </c>
      <c r="O293" s="25" t="n"/>
    </row>
    <row r="294">
      <c r="A294" s="24" t="n"/>
      <c r="B294" s="25" t="n"/>
      <c r="C294" s="25" t="n"/>
      <c r="D294" s="25" t="n"/>
      <c r="E294" s="26" t="n"/>
      <c r="F294" s="27" t="n"/>
      <c r="G294" s="27" t="n"/>
      <c r="H294" s="27" t="n"/>
      <c r="I294" s="27" t="n"/>
      <c r="J294" s="28" t="n"/>
      <c r="K294" s="27" t="n"/>
      <c r="L294" s="28">
        <f>IF(OR(I294="",J294=""),"",IF(I294&gt;0,J294*(I294/100),J294*(100/(-I294))))</f>
        <v/>
      </c>
      <c r="M294" s="29">
        <f>IF(K294="Hit",L294,IF(K294="No Hit",-J294,""))</f>
        <v/>
      </c>
      <c r="N294" s="29">
        <f>IF(M294="","",SUM($M$2:M294))</f>
        <v/>
      </c>
      <c r="O294" s="25" t="n"/>
    </row>
    <row r="295">
      <c r="A295" s="24" t="n"/>
      <c r="B295" s="25" t="n"/>
      <c r="C295" s="25" t="n"/>
      <c r="D295" s="25" t="n"/>
      <c r="E295" s="26" t="n"/>
      <c r="F295" s="27" t="n"/>
      <c r="G295" s="27" t="n"/>
      <c r="H295" s="27" t="n"/>
      <c r="I295" s="27" t="n"/>
      <c r="J295" s="28" t="n"/>
      <c r="K295" s="27" t="n"/>
      <c r="L295" s="28">
        <f>IF(OR(I295="",J295=""),"",IF(I295&gt;0,J295*(I295/100),J295*(100/(-I295))))</f>
        <v/>
      </c>
      <c r="M295" s="29">
        <f>IF(K295="Hit",L295,IF(K295="No Hit",-J295,""))</f>
        <v/>
      </c>
      <c r="N295" s="29">
        <f>IF(M295="","",SUM($M$2:M295))</f>
        <v/>
      </c>
      <c r="O295" s="25" t="n"/>
    </row>
    <row r="296">
      <c r="A296" s="24" t="n"/>
      <c r="B296" s="25" t="n"/>
      <c r="C296" s="25" t="n"/>
      <c r="D296" s="25" t="n"/>
      <c r="E296" s="26" t="n"/>
      <c r="F296" s="27" t="n"/>
      <c r="G296" s="27" t="n"/>
      <c r="H296" s="27" t="n"/>
      <c r="I296" s="27" t="n"/>
      <c r="J296" s="28" t="n"/>
      <c r="K296" s="27" t="n"/>
      <c r="L296" s="28">
        <f>IF(OR(I296="",J296=""),"",IF(I296&gt;0,J296*(I296/100),J296*(100/(-I296))))</f>
        <v/>
      </c>
      <c r="M296" s="29">
        <f>IF(K296="Hit",L296,IF(K296="No Hit",-J296,""))</f>
        <v/>
      </c>
      <c r="N296" s="29">
        <f>IF(M296="","",SUM($M$2:M296))</f>
        <v/>
      </c>
      <c r="O296" s="25" t="n"/>
    </row>
    <row r="297">
      <c r="A297" s="24" t="n"/>
      <c r="B297" s="25" t="n"/>
      <c r="C297" s="25" t="n"/>
      <c r="D297" s="25" t="n"/>
      <c r="E297" s="26" t="n"/>
      <c r="F297" s="27" t="n"/>
      <c r="G297" s="27" t="n"/>
      <c r="H297" s="27" t="n"/>
      <c r="I297" s="27" t="n"/>
      <c r="J297" s="28" t="n"/>
      <c r="K297" s="27" t="n"/>
      <c r="L297" s="28">
        <f>IF(OR(I297="",J297=""),"",IF(I297&gt;0,J297*(I297/100),J297*(100/(-I297))))</f>
        <v/>
      </c>
      <c r="M297" s="29">
        <f>IF(K297="Hit",L297,IF(K297="No Hit",-J297,""))</f>
        <v/>
      </c>
      <c r="N297" s="29">
        <f>IF(M297="","",SUM($M$2:M297))</f>
        <v/>
      </c>
      <c r="O297" s="25" t="n"/>
    </row>
    <row r="298">
      <c r="A298" s="24" t="n"/>
      <c r="B298" s="25" t="n"/>
      <c r="C298" s="25" t="n"/>
      <c r="D298" s="25" t="n"/>
      <c r="E298" s="26" t="n"/>
      <c r="F298" s="27" t="n"/>
      <c r="G298" s="27" t="n"/>
      <c r="H298" s="27" t="n"/>
      <c r="I298" s="27" t="n"/>
      <c r="J298" s="28" t="n"/>
      <c r="K298" s="27" t="n"/>
      <c r="L298" s="28">
        <f>IF(OR(I298="",J298=""),"",IF(I298&gt;0,J298*(I298/100),J298*(100/(-I298))))</f>
        <v/>
      </c>
      <c r="M298" s="29">
        <f>IF(K298="Hit",L298,IF(K298="No Hit",-J298,""))</f>
        <v/>
      </c>
      <c r="N298" s="29">
        <f>IF(M298="","",SUM($M$2:M298))</f>
        <v/>
      </c>
      <c r="O298" s="25" t="n"/>
    </row>
    <row r="299">
      <c r="A299" s="24" t="n"/>
      <c r="B299" s="25" t="n"/>
      <c r="C299" s="25" t="n"/>
      <c r="D299" s="25" t="n"/>
      <c r="E299" s="26" t="n"/>
      <c r="F299" s="27" t="n"/>
      <c r="G299" s="27" t="n"/>
      <c r="H299" s="27" t="n"/>
      <c r="I299" s="27" t="n"/>
      <c r="J299" s="28" t="n"/>
      <c r="K299" s="27" t="n"/>
      <c r="L299" s="28">
        <f>IF(OR(I299="",J299=""),"",IF(I299&gt;0,J299*(I299/100),J299*(100/(-I299))))</f>
        <v/>
      </c>
      <c r="M299" s="29">
        <f>IF(K299="Hit",L299,IF(K299="No Hit",-J299,""))</f>
        <v/>
      </c>
      <c r="N299" s="29">
        <f>IF(M299="","",SUM($M$2:M299))</f>
        <v/>
      </c>
      <c r="O299" s="25" t="n"/>
    </row>
    <row r="300">
      <c r="A300" s="24" t="n"/>
      <c r="B300" s="25" t="n"/>
      <c r="C300" s="25" t="n"/>
      <c r="D300" s="25" t="n"/>
      <c r="E300" s="26" t="n"/>
      <c r="F300" s="27" t="n"/>
      <c r="G300" s="27" t="n"/>
      <c r="H300" s="27" t="n"/>
      <c r="I300" s="27" t="n"/>
      <c r="J300" s="28" t="n"/>
      <c r="K300" s="27" t="n"/>
      <c r="L300" s="28">
        <f>IF(OR(I300="",J300=""),"",IF(I300&gt;0,J300*(I300/100),J300*(100/(-I300))))</f>
        <v/>
      </c>
      <c r="M300" s="29">
        <f>IF(K300="Hit",L300,IF(K300="No Hit",-J300,""))</f>
        <v/>
      </c>
      <c r="N300" s="29">
        <f>IF(M300="","",SUM($M$2:M300))</f>
        <v/>
      </c>
      <c r="O300" s="25" t="n"/>
    </row>
    <row r="301">
      <c r="A301" s="24" t="n"/>
      <c r="B301" s="25" t="n"/>
      <c r="C301" s="25" t="n"/>
      <c r="D301" s="25" t="n"/>
      <c r="E301" s="26" t="n"/>
      <c r="F301" s="27" t="n"/>
      <c r="G301" s="27" t="n"/>
      <c r="H301" s="27" t="n"/>
      <c r="I301" s="27" t="n"/>
      <c r="J301" s="28" t="n"/>
      <c r="K301" s="27" t="n"/>
      <c r="L301" s="28">
        <f>IF(OR(I301="",J301=""),"",IF(I301&gt;0,J301*(I301/100),J301*(100/(-I301))))</f>
        <v/>
      </c>
      <c r="M301" s="29">
        <f>IF(K301="Hit",L301,IF(K301="No Hit",-J301,""))</f>
        <v/>
      </c>
      <c r="N301" s="29">
        <f>IF(M301="","",SUM($M$2:M301))</f>
        <v/>
      </c>
      <c r="O301" s="25" t="n"/>
    </row>
  </sheetData>
  <conditionalFormatting sqref="A2:O301">
    <cfRule type="expression" priority="1" dxfId="0">
      <formula>$K2="Hit"</formula>
    </cfRule>
    <cfRule type="expression" priority="2" dxfId="1">
      <formula>$K2="No Hit"</formula>
    </cfRule>
    <cfRule type="expression" priority="3" dxfId="2">
      <formula>$K2="Pending"</formula>
    </cfRule>
  </conditionalFormatting>
  <dataValidations count="3">
    <dataValidation sqref="K2:K301" showDropDown="0" showInputMessage="0" showErrorMessage="0" allowBlank="1" type="list">
      <formula1>"Hit,No Hit,Pending"</formula1>
    </dataValidation>
    <dataValidation sqref="G2:G301" showDropDown="0" showInputMessage="0" showErrorMessage="0" allowBlank="1" type="list">
      <formula1>"High,Medium,Low"</formula1>
    </dataValidation>
    <dataValidation sqref="H2:H301" showDropDown="0" showInputMessage="0" showErrorMessage="0" allowBlank="1" type="list">
      <formula1>"DraftKings,FanDuel,BetMGM,Caesars,ESPNBet,Bet365,Hard Rock,Other"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8" customWidth="1" min="3" max="3"/>
    <col width="9" customWidth="1" min="4" max="4"/>
    <col width="7" customWidth="1" min="5" max="5"/>
    <col width="22" customWidth="1" min="6" max="6"/>
    <col width="8" customWidth="1" min="7" max="7"/>
    <col width="9" customWidth="1" min="8" max="8"/>
    <col width="7" customWidth="1" min="9" max="9"/>
    <col width="14" customWidth="1" min="10" max="10"/>
    <col width="8" customWidth="1" min="11" max="11"/>
    <col width="10" customWidth="1" min="12" max="12"/>
    <col width="10" customWidth="1" min="13" max="13"/>
    <col width="10" customWidth="1" min="14" max="14"/>
    <col width="10" customWidth="1" min="15" max="15"/>
    <col width="11" customWidth="1" min="16" max="16"/>
    <col width="10" customWidth="1" min="17" max="17"/>
    <col width="14" customWidth="1" min="18" max="18"/>
    <col width="28" customWidth="1" min="19" max="19"/>
  </cols>
  <sheetData>
    <row r="1" ht="32" customHeight="1">
      <c r="A1" s="30" t="inlineStr">
        <is>
          <t>Date</t>
        </is>
      </c>
      <c r="B1" s="30" t="inlineStr">
        <is>
          <t>Batter 1</t>
        </is>
      </c>
      <c r="C1" s="30" t="inlineStr">
        <is>
          <t>B1 Team</t>
        </is>
      </c>
      <c r="D1" s="30" t="inlineStr">
        <is>
          <t>B1 AVG</t>
        </is>
      </c>
      <c r="E1" s="30" t="inlineStr">
        <is>
          <t>B1 AB</t>
        </is>
      </c>
      <c r="F1" s="30" t="inlineStr">
        <is>
          <t>Batter 2</t>
        </is>
      </c>
      <c r="G1" s="30" t="inlineStr">
        <is>
          <t>B2 Team</t>
        </is>
      </c>
      <c r="H1" s="30" t="inlineStr">
        <is>
          <t>B2 AVG</t>
        </is>
      </c>
      <c r="I1" s="30" t="inlineStr">
        <is>
          <t>B2 AB</t>
        </is>
      </c>
      <c r="J1" s="30" t="inlineStr">
        <is>
          <t>Book</t>
        </is>
      </c>
      <c r="K1" s="30" t="inlineStr">
        <is>
          <t>Odds</t>
        </is>
      </c>
      <c r="L1" s="30" t="inlineStr">
        <is>
          <t>Stake ($)</t>
        </is>
      </c>
      <c r="M1" s="30" t="inlineStr">
        <is>
          <t>Leg 1</t>
        </is>
      </c>
      <c r="N1" s="30" t="inlineStr">
        <is>
          <t>Leg 2</t>
        </is>
      </c>
      <c r="O1" s="30" t="inlineStr">
        <is>
          <t>Result</t>
        </is>
      </c>
      <c r="P1" s="30" t="inlineStr">
        <is>
          <t>To Win ($)</t>
        </is>
      </c>
      <c r="Q1" s="30" t="inlineStr">
        <is>
          <t>P/L ($)</t>
        </is>
      </c>
      <c r="R1" s="30" t="inlineStr">
        <is>
          <t>Cum. P/L ($)</t>
        </is>
      </c>
      <c r="S1" s="30" t="inlineStr">
        <is>
          <t>Notes</t>
        </is>
      </c>
    </row>
    <row r="2">
      <c r="A2" s="24" t="n"/>
      <c r="B2" s="25" t="n"/>
      <c r="C2" s="27" t="n"/>
      <c r="D2" s="26" t="n"/>
      <c r="E2" s="27" t="n"/>
      <c r="F2" s="25" t="n"/>
      <c r="G2" s="27" t="n"/>
      <c r="H2" s="26" t="n"/>
      <c r="I2" s="27" t="n"/>
      <c r="J2" s="27" t="n"/>
      <c r="K2" s="27" t="n"/>
      <c r="L2" s="28" t="n"/>
      <c r="M2" s="27" t="n"/>
      <c r="N2" s="27" t="n"/>
      <c r="O2" s="27">
        <f>IF(AND(M2="",N2=""),"",IF(OR(M2="No Hit",N2="No Hit"),"Loss",IF(AND(M2="Hit",N2="Hit"),"Win","Pending")))</f>
        <v/>
      </c>
      <c r="P2" s="28">
        <f>IF(OR(K2="",L2=""),"",IF(K2&gt;0,L2*(K2/100),L2*(100/(-K2))))</f>
        <v/>
      </c>
      <c r="Q2" s="29">
        <f>IF(O2="Win",P2,IF(O2="Loss",-L2,""))</f>
        <v/>
      </c>
      <c r="R2" s="29">
        <f>IF(Q2="","",SUM($Q$2:Q2))</f>
        <v/>
      </c>
      <c r="S2" s="25" t="n"/>
    </row>
    <row r="3">
      <c r="A3" s="24" t="n"/>
      <c r="B3" s="25" t="n"/>
      <c r="C3" s="27" t="n"/>
      <c r="D3" s="26" t="n"/>
      <c r="E3" s="27" t="n"/>
      <c r="F3" s="25" t="n"/>
      <c r="G3" s="27" t="n"/>
      <c r="H3" s="26" t="n"/>
      <c r="I3" s="27" t="n"/>
      <c r="J3" s="27" t="n"/>
      <c r="K3" s="27" t="n"/>
      <c r="L3" s="28" t="n"/>
      <c r="M3" s="27" t="n"/>
      <c r="N3" s="27" t="n"/>
      <c r="O3" s="27">
        <f>IF(AND(M3="",N3=""),"",IF(OR(M3="No Hit",N3="No Hit"),"Loss",IF(AND(M3="Hit",N3="Hit"),"Win","Pending")))</f>
        <v/>
      </c>
      <c r="P3" s="28">
        <f>IF(OR(K3="",L3=""),"",IF(K3&gt;0,L3*(K3/100),L3*(100/(-K3))))</f>
        <v/>
      </c>
      <c r="Q3" s="29">
        <f>IF(O3="Win",P3,IF(O3="Loss",-L3,""))</f>
        <v/>
      </c>
      <c r="R3" s="29">
        <f>IF(Q3="","",SUM($Q$2:Q3))</f>
        <v/>
      </c>
      <c r="S3" s="25" t="n"/>
    </row>
    <row r="4">
      <c r="A4" s="24" t="n"/>
      <c r="B4" s="25" t="n"/>
      <c r="C4" s="27" t="n"/>
      <c r="D4" s="26" t="n"/>
      <c r="E4" s="27" t="n"/>
      <c r="F4" s="25" t="n"/>
      <c r="G4" s="27" t="n"/>
      <c r="H4" s="26" t="n"/>
      <c r="I4" s="27" t="n"/>
      <c r="J4" s="27" t="n"/>
      <c r="K4" s="27" t="n"/>
      <c r="L4" s="28" t="n"/>
      <c r="M4" s="27" t="n"/>
      <c r="N4" s="27" t="n"/>
      <c r="O4" s="27">
        <f>IF(AND(M4="",N4=""),"",IF(OR(M4="No Hit",N4="No Hit"),"Loss",IF(AND(M4="Hit",N4="Hit"),"Win","Pending")))</f>
        <v/>
      </c>
      <c r="P4" s="28">
        <f>IF(OR(K4="",L4=""),"",IF(K4&gt;0,L4*(K4/100),L4*(100/(-K4))))</f>
        <v/>
      </c>
      <c r="Q4" s="29">
        <f>IF(O4="Win",P4,IF(O4="Loss",-L4,""))</f>
        <v/>
      </c>
      <c r="R4" s="29">
        <f>IF(Q4="","",SUM($Q$2:Q4))</f>
        <v/>
      </c>
      <c r="S4" s="25" t="n"/>
    </row>
    <row r="5">
      <c r="A5" s="24" t="n"/>
      <c r="B5" s="25" t="n"/>
      <c r="C5" s="27" t="n"/>
      <c r="D5" s="26" t="n"/>
      <c r="E5" s="27" t="n"/>
      <c r="F5" s="25" t="n"/>
      <c r="G5" s="27" t="n"/>
      <c r="H5" s="26" t="n"/>
      <c r="I5" s="27" t="n"/>
      <c r="J5" s="27" t="n"/>
      <c r="K5" s="27" t="n"/>
      <c r="L5" s="28" t="n"/>
      <c r="M5" s="27" t="n"/>
      <c r="N5" s="27" t="n"/>
      <c r="O5" s="27">
        <f>IF(AND(M5="",N5=""),"",IF(OR(M5="No Hit",N5="No Hit"),"Loss",IF(AND(M5="Hit",N5="Hit"),"Win","Pending")))</f>
        <v/>
      </c>
      <c r="P5" s="28">
        <f>IF(OR(K5="",L5=""),"",IF(K5&gt;0,L5*(K5/100),L5*(100/(-K5))))</f>
        <v/>
      </c>
      <c r="Q5" s="29">
        <f>IF(O5="Win",P5,IF(O5="Loss",-L5,""))</f>
        <v/>
      </c>
      <c r="R5" s="29">
        <f>IF(Q5="","",SUM($Q$2:Q5))</f>
        <v/>
      </c>
      <c r="S5" s="25" t="n"/>
    </row>
    <row r="6">
      <c r="A6" s="24" t="n"/>
      <c r="B6" s="25" t="n"/>
      <c r="C6" s="27" t="n"/>
      <c r="D6" s="26" t="n"/>
      <c r="E6" s="27" t="n"/>
      <c r="F6" s="25" t="n"/>
      <c r="G6" s="27" t="n"/>
      <c r="H6" s="26" t="n"/>
      <c r="I6" s="27" t="n"/>
      <c r="J6" s="27" t="n"/>
      <c r="K6" s="27" t="n"/>
      <c r="L6" s="28" t="n"/>
      <c r="M6" s="27" t="n"/>
      <c r="N6" s="27" t="n"/>
      <c r="O6" s="27">
        <f>IF(AND(M6="",N6=""),"",IF(OR(M6="No Hit",N6="No Hit"),"Loss",IF(AND(M6="Hit",N6="Hit"),"Win","Pending")))</f>
        <v/>
      </c>
      <c r="P6" s="28">
        <f>IF(OR(K6="",L6=""),"",IF(K6&gt;0,L6*(K6/100),L6*(100/(-K6))))</f>
        <v/>
      </c>
      <c r="Q6" s="29">
        <f>IF(O6="Win",P6,IF(O6="Loss",-L6,""))</f>
        <v/>
      </c>
      <c r="R6" s="29">
        <f>IF(Q6="","",SUM($Q$2:Q6))</f>
        <v/>
      </c>
      <c r="S6" s="25" t="n"/>
    </row>
    <row r="7">
      <c r="A7" s="24" t="n"/>
      <c r="B7" s="25" t="n"/>
      <c r="C7" s="27" t="n"/>
      <c r="D7" s="26" t="n"/>
      <c r="E7" s="27" t="n"/>
      <c r="F7" s="25" t="n"/>
      <c r="G7" s="27" t="n"/>
      <c r="H7" s="26" t="n"/>
      <c r="I7" s="27" t="n"/>
      <c r="J7" s="27" t="n"/>
      <c r="K7" s="27" t="n"/>
      <c r="L7" s="28" t="n"/>
      <c r="M7" s="27" t="n"/>
      <c r="N7" s="27" t="n"/>
      <c r="O7" s="27">
        <f>IF(AND(M7="",N7=""),"",IF(OR(M7="No Hit",N7="No Hit"),"Loss",IF(AND(M7="Hit",N7="Hit"),"Win","Pending")))</f>
        <v/>
      </c>
      <c r="P7" s="28">
        <f>IF(OR(K7="",L7=""),"",IF(K7&gt;0,L7*(K7/100),L7*(100/(-K7))))</f>
        <v/>
      </c>
      <c r="Q7" s="29">
        <f>IF(O7="Win",P7,IF(O7="Loss",-L7,""))</f>
        <v/>
      </c>
      <c r="R7" s="29">
        <f>IF(Q7="","",SUM($Q$2:Q7))</f>
        <v/>
      </c>
      <c r="S7" s="25" t="n"/>
    </row>
    <row r="8">
      <c r="A8" s="24" t="n"/>
      <c r="B8" s="25" t="n"/>
      <c r="C8" s="27" t="n"/>
      <c r="D8" s="26" t="n"/>
      <c r="E8" s="27" t="n"/>
      <c r="F8" s="25" t="n"/>
      <c r="G8" s="27" t="n"/>
      <c r="H8" s="26" t="n"/>
      <c r="I8" s="27" t="n"/>
      <c r="J8" s="27" t="n"/>
      <c r="K8" s="27" t="n"/>
      <c r="L8" s="28" t="n"/>
      <c r="M8" s="27" t="n"/>
      <c r="N8" s="27" t="n"/>
      <c r="O8" s="27">
        <f>IF(AND(M8="",N8=""),"",IF(OR(M8="No Hit",N8="No Hit"),"Loss",IF(AND(M8="Hit",N8="Hit"),"Win","Pending")))</f>
        <v/>
      </c>
      <c r="P8" s="28">
        <f>IF(OR(K8="",L8=""),"",IF(K8&gt;0,L8*(K8/100),L8*(100/(-K8))))</f>
        <v/>
      </c>
      <c r="Q8" s="29">
        <f>IF(O8="Win",P8,IF(O8="Loss",-L8,""))</f>
        <v/>
      </c>
      <c r="R8" s="29">
        <f>IF(Q8="","",SUM($Q$2:Q8))</f>
        <v/>
      </c>
      <c r="S8" s="25" t="n"/>
    </row>
    <row r="9">
      <c r="A9" s="24" t="n"/>
      <c r="B9" s="25" t="n"/>
      <c r="C9" s="27" t="n"/>
      <c r="D9" s="26" t="n"/>
      <c r="E9" s="27" t="n"/>
      <c r="F9" s="25" t="n"/>
      <c r="G9" s="27" t="n"/>
      <c r="H9" s="26" t="n"/>
      <c r="I9" s="27" t="n"/>
      <c r="J9" s="27" t="n"/>
      <c r="K9" s="27" t="n"/>
      <c r="L9" s="28" t="n"/>
      <c r="M9" s="27" t="n"/>
      <c r="N9" s="27" t="n"/>
      <c r="O9" s="27">
        <f>IF(AND(M9="",N9=""),"",IF(OR(M9="No Hit",N9="No Hit"),"Loss",IF(AND(M9="Hit",N9="Hit"),"Win","Pending")))</f>
        <v/>
      </c>
      <c r="P9" s="28">
        <f>IF(OR(K9="",L9=""),"",IF(K9&gt;0,L9*(K9/100),L9*(100/(-K9))))</f>
        <v/>
      </c>
      <c r="Q9" s="29">
        <f>IF(O9="Win",P9,IF(O9="Loss",-L9,""))</f>
        <v/>
      </c>
      <c r="R9" s="29">
        <f>IF(Q9="","",SUM($Q$2:Q9))</f>
        <v/>
      </c>
      <c r="S9" s="25" t="n"/>
    </row>
    <row r="10">
      <c r="A10" s="24" t="n"/>
      <c r="B10" s="25" t="n"/>
      <c r="C10" s="27" t="n"/>
      <c r="D10" s="26" t="n"/>
      <c r="E10" s="27" t="n"/>
      <c r="F10" s="25" t="n"/>
      <c r="G10" s="27" t="n"/>
      <c r="H10" s="26" t="n"/>
      <c r="I10" s="27" t="n"/>
      <c r="J10" s="27" t="n"/>
      <c r="K10" s="27" t="n"/>
      <c r="L10" s="28" t="n"/>
      <c r="M10" s="27" t="n"/>
      <c r="N10" s="27" t="n"/>
      <c r="O10" s="27">
        <f>IF(AND(M10="",N10=""),"",IF(OR(M10="No Hit",N10="No Hit"),"Loss",IF(AND(M10="Hit",N10="Hit"),"Win","Pending")))</f>
        <v/>
      </c>
      <c r="P10" s="28">
        <f>IF(OR(K10="",L10=""),"",IF(K10&gt;0,L10*(K10/100),L10*(100/(-K10))))</f>
        <v/>
      </c>
      <c r="Q10" s="29">
        <f>IF(O10="Win",P10,IF(O10="Loss",-L10,""))</f>
        <v/>
      </c>
      <c r="R10" s="29">
        <f>IF(Q10="","",SUM($Q$2:Q10))</f>
        <v/>
      </c>
      <c r="S10" s="25" t="n"/>
    </row>
    <row r="11">
      <c r="A11" s="24" t="n"/>
      <c r="B11" s="25" t="n"/>
      <c r="C11" s="27" t="n"/>
      <c r="D11" s="26" t="n"/>
      <c r="E11" s="27" t="n"/>
      <c r="F11" s="25" t="n"/>
      <c r="G11" s="27" t="n"/>
      <c r="H11" s="26" t="n"/>
      <c r="I11" s="27" t="n"/>
      <c r="J11" s="27" t="n"/>
      <c r="K11" s="27" t="n"/>
      <c r="L11" s="28" t="n"/>
      <c r="M11" s="27" t="n"/>
      <c r="N11" s="27" t="n"/>
      <c r="O11" s="27">
        <f>IF(AND(M11="",N11=""),"",IF(OR(M11="No Hit",N11="No Hit"),"Loss",IF(AND(M11="Hit",N11="Hit"),"Win","Pending")))</f>
        <v/>
      </c>
      <c r="P11" s="28">
        <f>IF(OR(K11="",L11=""),"",IF(K11&gt;0,L11*(K11/100),L11*(100/(-K11))))</f>
        <v/>
      </c>
      <c r="Q11" s="29">
        <f>IF(O11="Win",P11,IF(O11="Loss",-L11,""))</f>
        <v/>
      </c>
      <c r="R11" s="29">
        <f>IF(Q11="","",SUM($Q$2:Q11))</f>
        <v/>
      </c>
      <c r="S11" s="25" t="n"/>
    </row>
    <row r="12">
      <c r="A12" s="24" t="n"/>
      <c r="B12" s="25" t="n"/>
      <c r="C12" s="27" t="n"/>
      <c r="D12" s="26" t="n"/>
      <c r="E12" s="27" t="n"/>
      <c r="F12" s="25" t="n"/>
      <c r="G12" s="27" t="n"/>
      <c r="H12" s="26" t="n"/>
      <c r="I12" s="27" t="n"/>
      <c r="J12" s="27" t="n"/>
      <c r="K12" s="27" t="n"/>
      <c r="L12" s="28" t="n"/>
      <c r="M12" s="27" t="n"/>
      <c r="N12" s="27" t="n"/>
      <c r="O12" s="27">
        <f>IF(AND(M12="",N12=""),"",IF(OR(M12="No Hit",N12="No Hit"),"Loss",IF(AND(M12="Hit",N12="Hit"),"Win","Pending")))</f>
        <v/>
      </c>
      <c r="P12" s="28">
        <f>IF(OR(K12="",L12=""),"",IF(K12&gt;0,L12*(K12/100),L12*(100/(-K12))))</f>
        <v/>
      </c>
      <c r="Q12" s="29">
        <f>IF(O12="Win",P12,IF(O12="Loss",-L12,""))</f>
        <v/>
      </c>
      <c r="R12" s="29">
        <f>IF(Q12="","",SUM($Q$2:Q12))</f>
        <v/>
      </c>
      <c r="S12" s="25" t="n"/>
    </row>
    <row r="13">
      <c r="A13" s="24" t="n"/>
      <c r="B13" s="25" t="n"/>
      <c r="C13" s="27" t="n"/>
      <c r="D13" s="26" t="n"/>
      <c r="E13" s="27" t="n"/>
      <c r="F13" s="25" t="n"/>
      <c r="G13" s="27" t="n"/>
      <c r="H13" s="26" t="n"/>
      <c r="I13" s="27" t="n"/>
      <c r="J13" s="27" t="n"/>
      <c r="K13" s="27" t="n"/>
      <c r="L13" s="28" t="n"/>
      <c r="M13" s="27" t="n"/>
      <c r="N13" s="27" t="n"/>
      <c r="O13" s="27">
        <f>IF(AND(M13="",N13=""),"",IF(OR(M13="No Hit",N13="No Hit"),"Loss",IF(AND(M13="Hit",N13="Hit"),"Win","Pending")))</f>
        <v/>
      </c>
      <c r="P13" s="28">
        <f>IF(OR(K13="",L13=""),"",IF(K13&gt;0,L13*(K13/100),L13*(100/(-K13))))</f>
        <v/>
      </c>
      <c r="Q13" s="29">
        <f>IF(O13="Win",P13,IF(O13="Loss",-L13,""))</f>
        <v/>
      </c>
      <c r="R13" s="29">
        <f>IF(Q13="","",SUM($Q$2:Q13))</f>
        <v/>
      </c>
      <c r="S13" s="25" t="n"/>
    </row>
    <row r="14">
      <c r="A14" s="24" t="n"/>
      <c r="B14" s="25" t="n"/>
      <c r="C14" s="27" t="n"/>
      <c r="D14" s="26" t="n"/>
      <c r="E14" s="27" t="n"/>
      <c r="F14" s="25" t="n"/>
      <c r="G14" s="27" t="n"/>
      <c r="H14" s="26" t="n"/>
      <c r="I14" s="27" t="n"/>
      <c r="J14" s="27" t="n"/>
      <c r="K14" s="27" t="n"/>
      <c r="L14" s="28" t="n"/>
      <c r="M14" s="27" t="n"/>
      <c r="N14" s="27" t="n"/>
      <c r="O14" s="27">
        <f>IF(AND(M14="",N14=""),"",IF(OR(M14="No Hit",N14="No Hit"),"Loss",IF(AND(M14="Hit",N14="Hit"),"Win","Pending")))</f>
        <v/>
      </c>
      <c r="P14" s="28">
        <f>IF(OR(K14="",L14=""),"",IF(K14&gt;0,L14*(K14/100),L14*(100/(-K14))))</f>
        <v/>
      </c>
      <c r="Q14" s="29">
        <f>IF(O14="Win",P14,IF(O14="Loss",-L14,""))</f>
        <v/>
      </c>
      <c r="R14" s="29">
        <f>IF(Q14="","",SUM($Q$2:Q14))</f>
        <v/>
      </c>
      <c r="S14" s="25" t="n"/>
    </row>
    <row r="15">
      <c r="A15" s="24" t="n"/>
      <c r="B15" s="25" t="n"/>
      <c r="C15" s="27" t="n"/>
      <c r="D15" s="26" t="n"/>
      <c r="E15" s="27" t="n"/>
      <c r="F15" s="25" t="n"/>
      <c r="G15" s="27" t="n"/>
      <c r="H15" s="26" t="n"/>
      <c r="I15" s="27" t="n"/>
      <c r="J15" s="27" t="n"/>
      <c r="K15" s="27" t="n"/>
      <c r="L15" s="28" t="n"/>
      <c r="M15" s="27" t="n"/>
      <c r="N15" s="27" t="n"/>
      <c r="O15" s="27">
        <f>IF(AND(M15="",N15=""),"",IF(OR(M15="No Hit",N15="No Hit"),"Loss",IF(AND(M15="Hit",N15="Hit"),"Win","Pending")))</f>
        <v/>
      </c>
      <c r="P15" s="28">
        <f>IF(OR(K15="",L15=""),"",IF(K15&gt;0,L15*(K15/100),L15*(100/(-K15))))</f>
        <v/>
      </c>
      <c r="Q15" s="29">
        <f>IF(O15="Win",P15,IF(O15="Loss",-L15,""))</f>
        <v/>
      </c>
      <c r="R15" s="29">
        <f>IF(Q15="","",SUM($Q$2:Q15))</f>
        <v/>
      </c>
      <c r="S15" s="25" t="n"/>
    </row>
    <row r="16">
      <c r="A16" s="24" t="n"/>
      <c r="B16" s="25" t="n"/>
      <c r="C16" s="27" t="n"/>
      <c r="D16" s="26" t="n"/>
      <c r="E16" s="27" t="n"/>
      <c r="F16" s="25" t="n"/>
      <c r="G16" s="27" t="n"/>
      <c r="H16" s="26" t="n"/>
      <c r="I16" s="27" t="n"/>
      <c r="J16" s="27" t="n"/>
      <c r="K16" s="27" t="n"/>
      <c r="L16" s="28" t="n"/>
      <c r="M16" s="27" t="n"/>
      <c r="N16" s="27" t="n"/>
      <c r="O16" s="27">
        <f>IF(AND(M16="",N16=""),"",IF(OR(M16="No Hit",N16="No Hit"),"Loss",IF(AND(M16="Hit",N16="Hit"),"Win","Pending")))</f>
        <v/>
      </c>
      <c r="P16" s="28">
        <f>IF(OR(K16="",L16=""),"",IF(K16&gt;0,L16*(K16/100),L16*(100/(-K16))))</f>
        <v/>
      </c>
      <c r="Q16" s="29">
        <f>IF(O16="Win",P16,IF(O16="Loss",-L16,""))</f>
        <v/>
      </c>
      <c r="R16" s="29">
        <f>IF(Q16="","",SUM($Q$2:Q16))</f>
        <v/>
      </c>
      <c r="S16" s="25" t="n"/>
    </row>
    <row r="17">
      <c r="A17" s="24" t="n"/>
      <c r="B17" s="25" t="n"/>
      <c r="C17" s="27" t="n"/>
      <c r="D17" s="26" t="n"/>
      <c r="E17" s="27" t="n"/>
      <c r="F17" s="25" t="n"/>
      <c r="G17" s="27" t="n"/>
      <c r="H17" s="26" t="n"/>
      <c r="I17" s="27" t="n"/>
      <c r="J17" s="27" t="n"/>
      <c r="K17" s="27" t="n"/>
      <c r="L17" s="28" t="n"/>
      <c r="M17" s="27" t="n"/>
      <c r="N17" s="27" t="n"/>
      <c r="O17" s="27">
        <f>IF(AND(M17="",N17=""),"",IF(OR(M17="No Hit",N17="No Hit"),"Loss",IF(AND(M17="Hit",N17="Hit"),"Win","Pending")))</f>
        <v/>
      </c>
      <c r="P17" s="28">
        <f>IF(OR(K17="",L17=""),"",IF(K17&gt;0,L17*(K17/100),L17*(100/(-K17))))</f>
        <v/>
      </c>
      <c r="Q17" s="29">
        <f>IF(O17="Win",P17,IF(O17="Loss",-L17,""))</f>
        <v/>
      </c>
      <c r="R17" s="29">
        <f>IF(Q17="","",SUM($Q$2:Q17))</f>
        <v/>
      </c>
      <c r="S17" s="25" t="n"/>
    </row>
    <row r="18">
      <c r="A18" s="24" t="n"/>
      <c r="B18" s="25" t="n"/>
      <c r="C18" s="27" t="n"/>
      <c r="D18" s="26" t="n"/>
      <c r="E18" s="27" t="n"/>
      <c r="F18" s="25" t="n"/>
      <c r="G18" s="27" t="n"/>
      <c r="H18" s="26" t="n"/>
      <c r="I18" s="27" t="n"/>
      <c r="J18" s="27" t="n"/>
      <c r="K18" s="27" t="n"/>
      <c r="L18" s="28" t="n"/>
      <c r="M18" s="27" t="n"/>
      <c r="N18" s="27" t="n"/>
      <c r="O18" s="27">
        <f>IF(AND(M18="",N18=""),"",IF(OR(M18="No Hit",N18="No Hit"),"Loss",IF(AND(M18="Hit",N18="Hit"),"Win","Pending")))</f>
        <v/>
      </c>
      <c r="P18" s="28">
        <f>IF(OR(K18="",L18=""),"",IF(K18&gt;0,L18*(K18/100),L18*(100/(-K18))))</f>
        <v/>
      </c>
      <c r="Q18" s="29">
        <f>IF(O18="Win",P18,IF(O18="Loss",-L18,""))</f>
        <v/>
      </c>
      <c r="R18" s="29">
        <f>IF(Q18="","",SUM($Q$2:Q18))</f>
        <v/>
      </c>
      <c r="S18" s="25" t="n"/>
    </row>
    <row r="19">
      <c r="A19" s="24" t="n"/>
      <c r="B19" s="25" t="n"/>
      <c r="C19" s="27" t="n"/>
      <c r="D19" s="26" t="n"/>
      <c r="E19" s="27" t="n"/>
      <c r="F19" s="25" t="n"/>
      <c r="G19" s="27" t="n"/>
      <c r="H19" s="26" t="n"/>
      <c r="I19" s="27" t="n"/>
      <c r="J19" s="27" t="n"/>
      <c r="K19" s="27" t="n"/>
      <c r="L19" s="28" t="n"/>
      <c r="M19" s="27" t="n"/>
      <c r="N19" s="27" t="n"/>
      <c r="O19" s="27">
        <f>IF(AND(M19="",N19=""),"",IF(OR(M19="No Hit",N19="No Hit"),"Loss",IF(AND(M19="Hit",N19="Hit"),"Win","Pending")))</f>
        <v/>
      </c>
      <c r="P19" s="28">
        <f>IF(OR(K19="",L19=""),"",IF(K19&gt;0,L19*(K19/100),L19*(100/(-K19))))</f>
        <v/>
      </c>
      <c r="Q19" s="29">
        <f>IF(O19="Win",P19,IF(O19="Loss",-L19,""))</f>
        <v/>
      </c>
      <c r="R19" s="29">
        <f>IF(Q19="","",SUM($Q$2:Q19))</f>
        <v/>
      </c>
      <c r="S19" s="25" t="n"/>
    </row>
    <row r="20">
      <c r="A20" s="24" t="n"/>
      <c r="B20" s="25" t="n"/>
      <c r="C20" s="27" t="n"/>
      <c r="D20" s="26" t="n"/>
      <c r="E20" s="27" t="n"/>
      <c r="F20" s="25" t="n"/>
      <c r="G20" s="27" t="n"/>
      <c r="H20" s="26" t="n"/>
      <c r="I20" s="27" t="n"/>
      <c r="J20" s="27" t="n"/>
      <c r="K20" s="27" t="n"/>
      <c r="L20" s="28" t="n"/>
      <c r="M20" s="27" t="n"/>
      <c r="N20" s="27" t="n"/>
      <c r="O20" s="27">
        <f>IF(AND(M20="",N20=""),"",IF(OR(M20="No Hit",N20="No Hit"),"Loss",IF(AND(M20="Hit",N20="Hit"),"Win","Pending")))</f>
        <v/>
      </c>
      <c r="P20" s="28">
        <f>IF(OR(K20="",L20=""),"",IF(K20&gt;0,L20*(K20/100),L20*(100/(-K20))))</f>
        <v/>
      </c>
      <c r="Q20" s="29">
        <f>IF(O20="Win",P20,IF(O20="Loss",-L20,""))</f>
        <v/>
      </c>
      <c r="R20" s="29">
        <f>IF(Q20="","",SUM($Q$2:Q20))</f>
        <v/>
      </c>
      <c r="S20" s="25" t="n"/>
    </row>
    <row r="21">
      <c r="A21" s="24" t="n"/>
      <c r="B21" s="25" t="n"/>
      <c r="C21" s="27" t="n"/>
      <c r="D21" s="26" t="n"/>
      <c r="E21" s="27" t="n"/>
      <c r="F21" s="25" t="n"/>
      <c r="G21" s="27" t="n"/>
      <c r="H21" s="26" t="n"/>
      <c r="I21" s="27" t="n"/>
      <c r="J21" s="27" t="n"/>
      <c r="K21" s="27" t="n"/>
      <c r="L21" s="28" t="n"/>
      <c r="M21" s="27" t="n"/>
      <c r="N21" s="27" t="n"/>
      <c r="O21" s="27">
        <f>IF(AND(M21="",N21=""),"",IF(OR(M21="No Hit",N21="No Hit"),"Loss",IF(AND(M21="Hit",N21="Hit"),"Win","Pending")))</f>
        <v/>
      </c>
      <c r="P21" s="28">
        <f>IF(OR(K21="",L21=""),"",IF(K21&gt;0,L21*(K21/100),L21*(100/(-K21))))</f>
        <v/>
      </c>
      <c r="Q21" s="29">
        <f>IF(O21="Win",P21,IF(O21="Loss",-L21,""))</f>
        <v/>
      </c>
      <c r="R21" s="29">
        <f>IF(Q21="","",SUM($Q$2:Q21))</f>
        <v/>
      </c>
      <c r="S21" s="25" t="n"/>
    </row>
    <row r="22">
      <c r="A22" s="24" t="n"/>
      <c r="B22" s="25" t="n"/>
      <c r="C22" s="27" t="n"/>
      <c r="D22" s="26" t="n"/>
      <c r="E22" s="27" t="n"/>
      <c r="F22" s="25" t="n"/>
      <c r="G22" s="27" t="n"/>
      <c r="H22" s="26" t="n"/>
      <c r="I22" s="27" t="n"/>
      <c r="J22" s="27" t="n"/>
      <c r="K22" s="27" t="n"/>
      <c r="L22" s="28" t="n"/>
      <c r="M22" s="27" t="n"/>
      <c r="N22" s="27" t="n"/>
      <c r="O22" s="27">
        <f>IF(AND(M22="",N22=""),"",IF(OR(M22="No Hit",N22="No Hit"),"Loss",IF(AND(M22="Hit",N22="Hit"),"Win","Pending")))</f>
        <v/>
      </c>
      <c r="P22" s="28">
        <f>IF(OR(K22="",L22=""),"",IF(K22&gt;0,L22*(K22/100),L22*(100/(-K22))))</f>
        <v/>
      </c>
      <c r="Q22" s="29">
        <f>IF(O22="Win",P22,IF(O22="Loss",-L22,""))</f>
        <v/>
      </c>
      <c r="R22" s="29">
        <f>IF(Q22="","",SUM($Q$2:Q22))</f>
        <v/>
      </c>
      <c r="S22" s="25" t="n"/>
    </row>
    <row r="23">
      <c r="A23" s="24" t="n"/>
      <c r="B23" s="25" t="n"/>
      <c r="C23" s="27" t="n"/>
      <c r="D23" s="26" t="n"/>
      <c r="E23" s="27" t="n"/>
      <c r="F23" s="25" t="n"/>
      <c r="G23" s="27" t="n"/>
      <c r="H23" s="26" t="n"/>
      <c r="I23" s="27" t="n"/>
      <c r="J23" s="27" t="n"/>
      <c r="K23" s="27" t="n"/>
      <c r="L23" s="28" t="n"/>
      <c r="M23" s="27" t="n"/>
      <c r="N23" s="27" t="n"/>
      <c r="O23" s="27">
        <f>IF(AND(M23="",N23=""),"",IF(OR(M23="No Hit",N23="No Hit"),"Loss",IF(AND(M23="Hit",N23="Hit"),"Win","Pending")))</f>
        <v/>
      </c>
      <c r="P23" s="28">
        <f>IF(OR(K23="",L23=""),"",IF(K23&gt;0,L23*(K23/100),L23*(100/(-K23))))</f>
        <v/>
      </c>
      <c r="Q23" s="29">
        <f>IF(O23="Win",P23,IF(O23="Loss",-L23,""))</f>
        <v/>
      </c>
      <c r="R23" s="29">
        <f>IF(Q23="","",SUM($Q$2:Q23))</f>
        <v/>
      </c>
      <c r="S23" s="25" t="n"/>
    </row>
    <row r="24">
      <c r="A24" s="24" t="n"/>
      <c r="B24" s="25" t="n"/>
      <c r="C24" s="27" t="n"/>
      <c r="D24" s="26" t="n"/>
      <c r="E24" s="27" t="n"/>
      <c r="F24" s="25" t="n"/>
      <c r="G24" s="27" t="n"/>
      <c r="H24" s="26" t="n"/>
      <c r="I24" s="27" t="n"/>
      <c r="J24" s="27" t="n"/>
      <c r="K24" s="27" t="n"/>
      <c r="L24" s="28" t="n"/>
      <c r="M24" s="27" t="n"/>
      <c r="N24" s="27" t="n"/>
      <c r="O24" s="27">
        <f>IF(AND(M24="",N24=""),"",IF(OR(M24="No Hit",N24="No Hit"),"Loss",IF(AND(M24="Hit",N24="Hit"),"Win","Pending")))</f>
        <v/>
      </c>
      <c r="P24" s="28">
        <f>IF(OR(K24="",L24=""),"",IF(K24&gt;0,L24*(K24/100),L24*(100/(-K24))))</f>
        <v/>
      </c>
      <c r="Q24" s="29">
        <f>IF(O24="Win",P24,IF(O24="Loss",-L24,""))</f>
        <v/>
      </c>
      <c r="R24" s="29">
        <f>IF(Q24="","",SUM($Q$2:Q24))</f>
        <v/>
      </c>
      <c r="S24" s="25" t="n"/>
    </row>
    <row r="25">
      <c r="A25" s="24" t="n"/>
      <c r="B25" s="25" t="n"/>
      <c r="C25" s="27" t="n"/>
      <c r="D25" s="26" t="n"/>
      <c r="E25" s="27" t="n"/>
      <c r="F25" s="25" t="n"/>
      <c r="G25" s="27" t="n"/>
      <c r="H25" s="26" t="n"/>
      <c r="I25" s="27" t="n"/>
      <c r="J25" s="27" t="n"/>
      <c r="K25" s="27" t="n"/>
      <c r="L25" s="28" t="n"/>
      <c r="M25" s="27" t="n"/>
      <c r="N25" s="27" t="n"/>
      <c r="O25" s="27">
        <f>IF(AND(M25="",N25=""),"",IF(OR(M25="No Hit",N25="No Hit"),"Loss",IF(AND(M25="Hit",N25="Hit"),"Win","Pending")))</f>
        <v/>
      </c>
      <c r="P25" s="28">
        <f>IF(OR(K25="",L25=""),"",IF(K25&gt;0,L25*(K25/100),L25*(100/(-K25))))</f>
        <v/>
      </c>
      <c r="Q25" s="29">
        <f>IF(O25="Win",P25,IF(O25="Loss",-L25,""))</f>
        <v/>
      </c>
      <c r="R25" s="29">
        <f>IF(Q25="","",SUM($Q$2:Q25))</f>
        <v/>
      </c>
      <c r="S25" s="25" t="n"/>
    </row>
    <row r="26">
      <c r="A26" s="24" t="n"/>
      <c r="B26" s="25" t="n"/>
      <c r="C26" s="27" t="n"/>
      <c r="D26" s="26" t="n"/>
      <c r="E26" s="27" t="n"/>
      <c r="F26" s="25" t="n"/>
      <c r="G26" s="27" t="n"/>
      <c r="H26" s="26" t="n"/>
      <c r="I26" s="27" t="n"/>
      <c r="J26" s="27" t="n"/>
      <c r="K26" s="27" t="n"/>
      <c r="L26" s="28" t="n"/>
      <c r="M26" s="27" t="n"/>
      <c r="N26" s="27" t="n"/>
      <c r="O26" s="27">
        <f>IF(AND(M26="",N26=""),"",IF(OR(M26="No Hit",N26="No Hit"),"Loss",IF(AND(M26="Hit",N26="Hit"),"Win","Pending")))</f>
        <v/>
      </c>
      <c r="P26" s="28">
        <f>IF(OR(K26="",L26=""),"",IF(K26&gt;0,L26*(K26/100),L26*(100/(-K26))))</f>
        <v/>
      </c>
      <c r="Q26" s="29">
        <f>IF(O26="Win",P26,IF(O26="Loss",-L26,""))</f>
        <v/>
      </c>
      <c r="R26" s="29">
        <f>IF(Q26="","",SUM($Q$2:Q26))</f>
        <v/>
      </c>
      <c r="S26" s="25" t="n"/>
    </row>
    <row r="27">
      <c r="A27" s="24" t="n"/>
      <c r="B27" s="25" t="n"/>
      <c r="C27" s="27" t="n"/>
      <c r="D27" s="26" t="n"/>
      <c r="E27" s="27" t="n"/>
      <c r="F27" s="25" t="n"/>
      <c r="G27" s="27" t="n"/>
      <c r="H27" s="26" t="n"/>
      <c r="I27" s="27" t="n"/>
      <c r="J27" s="27" t="n"/>
      <c r="K27" s="27" t="n"/>
      <c r="L27" s="28" t="n"/>
      <c r="M27" s="27" t="n"/>
      <c r="N27" s="27" t="n"/>
      <c r="O27" s="27">
        <f>IF(AND(M27="",N27=""),"",IF(OR(M27="No Hit",N27="No Hit"),"Loss",IF(AND(M27="Hit",N27="Hit"),"Win","Pending")))</f>
        <v/>
      </c>
      <c r="P27" s="28">
        <f>IF(OR(K27="",L27=""),"",IF(K27&gt;0,L27*(K27/100),L27*(100/(-K27))))</f>
        <v/>
      </c>
      <c r="Q27" s="29">
        <f>IF(O27="Win",P27,IF(O27="Loss",-L27,""))</f>
        <v/>
      </c>
      <c r="R27" s="29">
        <f>IF(Q27="","",SUM($Q$2:Q27))</f>
        <v/>
      </c>
      <c r="S27" s="25" t="n"/>
    </row>
    <row r="28">
      <c r="A28" s="24" t="n"/>
      <c r="B28" s="25" t="n"/>
      <c r="C28" s="27" t="n"/>
      <c r="D28" s="26" t="n"/>
      <c r="E28" s="27" t="n"/>
      <c r="F28" s="25" t="n"/>
      <c r="G28" s="27" t="n"/>
      <c r="H28" s="26" t="n"/>
      <c r="I28" s="27" t="n"/>
      <c r="J28" s="27" t="n"/>
      <c r="K28" s="27" t="n"/>
      <c r="L28" s="28" t="n"/>
      <c r="M28" s="27" t="n"/>
      <c r="N28" s="27" t="n"/>
      <c r="O28" s="27">
        <f>IF(AND(M28="",N28=""),"",IF(OR(M28="No Hit",N28="No Hit"),"Loss",IF(AND(M28="Hit",N28="Hit"),"Win","Pending")))</f>
        <v/>
      </c>
      <c r="P28" s="28">
        <f>IF(OR(K28="",L28=""),"",IF(K28&gt;0,L28*(K28/100),L28*(100/(-K28))))</f>
        <v/>
      </c>
      <c r="Q28" s="29">
        <f>IF(O28="Win",P28,IF(O28="Loss",-L28,""))</f>
        <v/>
      </c>
      <c r="R28" s="29">
        <f>IF(Q28="","",SUM($Q$2:Q28))</f>
        <v/>
      </c>
      <c r="S28" s="25" t="n"/>
    </row>
    <row r="29">
      <c r="A29" s="24" t="n"/>
      <c r="B29" s="25" t="n"/>
      <c r="C29" s="27" t="n"/>
      <c r="D29" s="26" t="n"/>
      <c r="E29" s="27" t="n"/>
      <c r="F29" s="25" t="n"/>
      <c r="G29" s="27" t="n"/>
      <c r="H29" s="26" t="n"/>
      <c r="I29" s="27" t="n"/>
      <c r="J29" s="27" t="n"/>
      <c r="K29" s="27" t="n"/>
      <c r="L29" s="28" t="n"/>
      <c r="M29" s="27" t="n"/>
      <c r="N29" s="27" t="n"/>
      <c r="O29" s="27">
        <f>IF(AND(M29="",N29=""),"",IF(OR(M29="No Hit",N29="No Hit"),"Loss",IF(AND(M29="Hit",N29="Hit"),"Win","Pending")))</f>
        <v/>
      </c>
      <c r="P29" s="28">
        <f>IF(OR(K29="",L29=""),"",IF(K29&gt;0,L29*(K29/100),L29*(100/(-K29))))</f>
        <v/>
      </c>
      <c r="Q29" s="29">
        <f>IF(O29="Win",P29,IF(O29="Loss",-L29,""))</f>
        <v/>
      </c>
      <c r="R29" s="29">
        <f>IF(Q29="","",SUM($Q$2:Q29))</f>
        <v/>
      </c>
      <c r="S29" s="25" t="n"/>
    </row>
    <row r="30">
      <c r="A30" s="24" t="n"/>
      <c r="B30" s="25" t="n"/>
      <c r="C30" s="27" t="n"/>
      <c r="D30" s="26" t="n"/>
      <c r="E30" s="27" t="n"/>
      <c r="F30" s="25" t="n"/>
      <c r="G30" s="27" t="n"/>
      <c r="H30" s="26" t="n"/>
      <c r="I30" s="27" t="n"/>
      <c r="J30" s="27" t="n"/>
      <c r="K30" s="27" t="n"/>
      <c r="L30" s="28" t="n"/>
      <c r="M30" s="27" t="n"/>
      <c r="N30" s="27" t="n"/>
      <c r="O30" s="27">
        <f>IF(AND(M30="",N30=""),"",IF(OR(M30="No Hit",N30="No Hit"),"Loss",IF(AND(M30="Hit",N30="Hit"),"Win","Pending")))</f>
        <v/>
      </c>
      <c r="P30" s="28">
        <f>IF(OR(K30="",L30=""),"",IF(K30&gt;0,L30*(K30/100),L30*(100/(-K30))))</f>
        <v/>
      </c>
      <c r="Q30" s="29">
        <f>IF(O30="Win",P30,IF(O30="Loss",-L30,""))</f>
        <v/>
      </c>
      <c r="R30" s="29">
        <f>IF(Q30="","",SUM($Q$2:Q30))</f>
        <v/>
      </c>
      <c r="S30" s="25" t="n"/>
    </row>
    <row r="31">
      <c r="A31" s="24" t="n"/>
      <c r="B31" s="25" t="n"/>
      <c r="C31" s="27" t="n"/>
      <c r="D31" s="26" t="n"/>
      <c r="E31" s="27" t="n"/>
      <c r="F31" s="25" t="n"/>
      <c r="G31" s="27" t="n"/>
      <c r="H31" s="26" t="n"/>
      <c r="I31" s="27" t="n"/>
      <c r="J31" s="27" t="n"/>
      <c r="K31" s="27" t="n"/>
      <c r="L31" s="28" t="n"/>
      <c r="M31" s="27" t="n"/>
      <c r="N31" s="27" t="n"/>
      <c r="O31" s="27">
        <f>IF(AND(M31="",N31=""),"",IF(OR(M31="No Hit",N31="No Hit"),"Loss",IF(AND(M31="Hit",N31="Hit"),"Win","Pending")))</f>
        <v/>
      </c>
      <c r="P31" s="28">
        <f>IF(OR(K31="",L31=""),"",IF(K31&gt;0,L31*(K31/100),L31*(100/(-K31))))</f>
        <v/>
      </c>
      <c r="Q31" s="29">
        <f>IF(O31="Win",P31,IF(O31="Loss",-L31,""))</f>
        <v/>
      </c>
      <c r="R31" s="29">
        <f>IF(Q31="","",SUM($Q$2:Q31))</f>
        <v/>
      </c>
      <c r="S31" s="25" t="n"/>
    </row>
    <row r="32">
      <c r="A32" s="24" t="n"/>
      <c r="B32" s="25" t="n"/>
      <c r="C32" s="27" t="n"/>
      <c r="D32" s="26" t="n"/>
      <c r="E32" s="27" t="n"/>
      <c r="F32" s="25" t="n"/>
      <c r="G32" s="27" t="n"/>
      <c r="H32" s="26" t="n"/>
      <c r="I32" s="27" t="n"/>
      <c r="J32" s="27" t="n"/>
      <c r="K32" s="27" t="n"/>
      <c r="L32" s="28" t="n"/>
      <c r="M32" s="27" t="n"/>
      <c r="N32" s="27" t="n"/>
      <c r="O32" s="27">
        <f>IF(AND(M32="",N32=""),"",IF(OR(M32="No Hit",N32="No Hit"),"Loss",IF(AND(M32="Hit",N32="Hit"),"Win","Pending")))</f>
        <v/>
      </c>
      <c r="P32" s="28">
        <f>IF(OR(K32="",L32=""),"",IF(K32&gt;0,L32*(K32/100),L32*(100/(-K32))))</f>
        <v/>
      </c>
      <c r="Q32" s="29">
        <f>IF(O32="Win",P32,IF(O32="Loss",-L32,""))</f>
        <v/>
      </c>
      <c r="R32" s="29">
        <f>IF(Q32="","",SUM($Q$2:Q32))</f>
        <v/>
      </c>
      <c r="S32" s="25" t="n"/>
    </row>
    <row r="33">
      <c r="A33" s="24" t="n"/>
      <c r="B33" s="25" t="n"/>
      <c r="C33" s="27" t="n"/>
      <c r="D33" s="26" t="n"/>
      <c r="E33" s="27" t="n"/>
      <c r="F33" s="25" t="n"/>
      <c r="G33" s="27" t="n"/>
      <c r="H33" s="26" t="n"/>
      <c r="I33" s="27" t="n"/>
      <c r="J33" s="27" t="n"/>
      <c r="K33" s="27" t="n"/>
      <c r="L33" s="28" t="n"/>
      <c r="M33" s="27" t="n"/>
      <c r="N33" s="27" t="n"/>
      <c r="O33" s="27">
        <f>IF(AND(M33="",N33=""),"",IF(OR(M33="No Hit",N33="No Hit"),"Loss",IF(AND(M33="Hit",N33="Hit"),"Win","Pending")))</f>
        <v/>
      </c>
      <c r="P33" s="28">
        <f>IF(OR(K33="",L33=""),"",IF(K33&gt;0,L33*(K33/100),L33*(100/(-K33))))</f>
        <v/>
      </c>
      <c r="Q33" s="29">
        <f>IF(O33="Win",P33,IF(O33="Loss",-L33,""))</f>
        <v/>
      </c>
      <c r="R33" s="29">
        <f>IF(Q33="","",SUM($Q$2:Q33))</f>
        <v/>
      </c>
      <c r="S33" s="25" t="n"/>
    </row>
    <row r="34">
      <c r="A34" s="24" t="n"/>
      <c r="B34" s="25" t="n"/>
      <c r="C34" s="27" t="n"/>
      <c r="D34" s="26" t="n"/>
      <c r="E34" s="27" t="n"/>
      <c r="F34" s="25" t="n"/>
      <c r="G34" s="27" t="n"/>
      <c r="H34" s="26" t="n"/>
      <c r="I34" s="27" t="n"/>
      <c r="J34" s="27" t="n"/>
      <c r="K34" s="27" t="n"/>
      <c r="L34" s="28" t="n"/>
      <c r="M34" s="27" t="n"/>
      <c r="N34" s="27" t="n"/>
      <c r="O34" s="27">
        <f>IF(AND(M34="",N34=""),"",IF(OR(M34="No Hit",N34="No Hit"),"Loss",IF(AND(M34="Hit",N34="Hit"),"Win","Pending")))</f>
        <v/>
      </c>
      <c r="P34" s="28">
        <f>IF(OR(K34="",L34=""),"",IF(K34&gt;0,L34*(K34/100),L34*(100/(-K34))))</f>
        <v/>
      </c>
      <c r="Q34" s="29">
        <f>IF(O34="Win",P34,IF(O34="Loss",-L34,""))</f>
        <v/>
      </c>
      <c r="R34" s="29">
        <f>IF(Q34="","",SUM($Q$2:Q34))</f>
        <v/>
      </c>
      <c r="S34" s="25" t="n"/>
    </row>
    <row r="35">
      <c r="A35" s="24" t="n"/>
      <c r="B35" s="25" t="n"/>
      <c r="C35" s="27" t="n"/>
      <c r="D35" s="26" t="n"/>
      <c r="E35" s="27" t="n"/>
      <c r="F35" s="25" t="n"/>
      <c r="G35" s="27" t="n"/>
      <c r="H35" s="26" t="n"/>
      <c r="I35" s="27" t="n"/>
      <c r="J35" s="27" t="n"/>
      <c r="K35" s="27" t="n"/>
      <c r="L35" s="28" t="n"/>
      <c r="M35" s="27" t="n"/>
      <c r="N35" s="27" t="n"/>
      <c r="O35" s="27">
        <f>IF(AND(M35="",N35=""),"",IF(OR(M35="No Hit",N35="No Hit"),"Loss",IF(AND(M35="Hit",N35="Hit"),"Win","Pending")))</f>
        <v/>
      </c>
      <c r="P35" s="28">
        <f>IF(OR(K35="",L35=""),"",IF(K35&gt;0,L35*(K35/100),L35*(100/(-K35))))</f>
        <v/>
      </c>
      <c r="Q35" s="29">
        <f>IF(O35="Win",P35,IF(O35="Loss",-L35,""))</f>
        <v/>
      </c>
      <c r="R35" s="29">
        <f>IF(Q35="","",SUM($Q$2:Q35))</f>
        <v/>
      </c>
      <c r="S35" s="25" t="n"/>
    </row>
    <row r="36">
      <c r="A36" s="24" t="n"/>
      <c r="B36" s="25" t="n"/>
      <c r="C36" s="27" t="n"/>
      <c r="D36" s="26" t="n"/>
      <c r="E36" s="27" t="n"/>
      <c r="F36" s="25" t="n"/>
      <c r="G36" s="27" t="n"/>
      <c r="H36" s="26" t="n"/>
      <c r="I36" s="27" t="n"/>
      <c r="J36" s="27" t="n"/>
      <c r="K36" s="27" t="n"/>
      <c r="L36" s="28" t="n"/>
      <c r="M36" s="27" t="n"/>
      <c r="N36" s="27" t="n"/>
      <c r="O36" s="27">
        <f>IF(AND(M36="",N36=""),"",IF(OR(M36="No Hit",N36="No Hit"),"Loss",IF(AND(M36="Hit",N36="Hit"),"Win","Pending")))</f>
        <v/>
      </c>
      <c r="P36" s="28">
        <f>IF(OR(K36="",L36=""),"",IF(K36&gt;0,L36*(K36/100),L36*(100/(-K36))))</f>
        <v/>
      </c>
      <c r="Q36" s="29">
        <f>IF(O36="Win",P36,IF(O36="Loss",-L36,""))</f>
        <v/>
      </c>
      <c r="R36" s="29">
        <f>IF(Q36="","",SUM($Q$2:Q36))</f>
        <v/>
      </c>
      <c r="S36" s="25" t="n"/>
    </row>
    <row r="37">
      <c r="A37" s="24" t="n"/>
      <c r="B37" s="25" t="n"/>
      <c r="C37" s="27" t="n"/>
      <c r="D37" s="26" t="n"/>
      <c r="E37" s="27" t="n"/>
      <c r="F37" s="25" t="n"/>
      <c r="G37" s="27" t="n"/>
      <c r="H37" s="26" t="n"/>
      <c r="I37" s="27" t="n"/>
      <c r="J37" s="27" t="n"/>
      <c r="K37" s="27" t="n"/>
      <c r="L37" s="28" t="n"/>
      <c r="M37" s="27" t="n"/>
      <c r="N37" s="27" t="n"/>
      <c r="O37" s="27">
        <f>IF(AND(M37="",N37=""),"",IF(OR(M37="No Hit",N37="No Hit"),"Loss",IF(AND(M37="Hit",N37="Hit"),"Win","Pending")))</f>
        <v/>
      </c>
      <c r="P37" s="28">
        <f>IF(OR(K37="",L37=""),"",IF(K37&gt;0,L37*(K37/100),L37*(100/(-K37))))</f>
        <v/>
      </c>
      <c r="Q37" s="29">
        <f>IF(O37="Win",P37,IF(O37="Loss",-L37,""))</f>
        <v/>
      </c>
      <c r="R37" s="29">
        <f>IF(Q37="","",SUM($Q$2:Q37))</f>
        <v/>
      </c>
      <c r="S37" s="25" t="n"/>
    </row>
    <row r="38">
      <c r="A38" s="24" t="n"/>
      <c r="B38" s="25" t="n"/>
      <c r="C38" s="27" t="n"/>
      <c r="D38" s="26" t="n"/>
      <c r="E38" s="27" t="n"/>
      <c r="F38" s="25" t="n"/>
      <c r="G38" s="27" t="n"/>
      <c r="H38" s="26" t="n"/>
      <c r="I38" s="27" t="n"/>
      <c r="J38" s="27" t="n"/>
      <c r="K38" s="27" t="n"/>
      <c r="L38" s="28" t="n"/>
      <c r="M38" s="27" t="n"/>
      <c r="N38" s="27" t="n"/>
      <c r="O38" s="27">
        <f>IF(AND(M38="",N38=""),"",IF(OR(M38="No Hit",N38="No Hit"),"Loss",IF(AND(M38="Hit",N38="Hit"),"Win","Pending")))</f>
        <v/>
      </c>
      <c r="P38" s="28">
        <f>IF(OR(K38="",L38=""),"",IF(K38&gt;0,L38*(K38/100),L38*(100/(-K38))))</f>
        <v/>
      </c>
      <c r="Q38" s="29">
        <f>IF(O38="Win",P38,IF(O38="Loss",-L38,""))</f>
        <v/>
      </c>
      <c r="R38" s="29">
        <f>IF(Q38="","",SUM($Q$2:Q38))</f>
        <v/>
      </c>
      <c r="S38" s="25" t="n"/>
    </row>
    <row r="39">
      <c r="A39" s="24" t="n"/>
      <c r="B39" s="25" t="n"/>
      <c r="C39" s="27" t="n"/>
      <c r="D39" s="26" t="n"/>
      <c r="E39" s="27" t="n"/>
      <c r="F39" s="25" t="n"/>
      <c r="G39" s="27" t="n"/>
      <c r="H39" s="26" t="n"/>
      <c r="I39" s="27" t="n"/>
      <c r="J39" s="27" t="n"/>
      <c r="K39" s="27" t="n"/>
      <c r="L39" s="28" t="n"/>
      <c r="M39" s="27" t="n"/>
      <c r="N39" s="27" t="n"/>
      <c r="O39" s="27">
        <f>IF(AND(M39="",N39=""),"",IF(OR(M39="No Hit",N39="No Hit"),"Loss",IF(AND(M39="Hit",N39="Hit"),"Win","Pending")))</f>
        <v/>
      </c>
      <c r="P39" s="28">
        <f>IF(OR(K39="",L39=""),"",IF(K39&gt;0,L39*(K39/100),L39*(100/(-K39))))</f>
        <v/>
      </c>
      <c r="Q39" s="29">
        <f>IF(O39="Win",P39,IF(O39="Loss",-L39,""))</f>
        <v/>
      </c>
      <c r="R39" s="29">
        <f>IF(Q39="","",SUM($Q$2:Q39))</f>
        <v/>
      </c>
      <c r="S39" s="25" t="n"/>
    </row>
    <row r="40">
      <c r="A40" s="24" t="n"/>
      <c r="B40" s="25" t="n"/>
      <c r="C40" s="27" t="n"/>
      <c r="D40" s="26" t="n"/>
      <c r="E40" s="27" t="n"/>
      <c r="F40" s="25" t="n"/>
      <c r="G40" s="27" t="n"/>
      <c r="H40" s="26" t="n"/>
      <c r="I40" s="27" t="n"/>
      <c r="J40" s="27" t="n"/>
      <c r="K40" s="27" t="n"/>
      <c r="L40" s="28" t="n"/>
      <c r="M40" s="27" t="n"/>
      <c r="N40" s="27" t="n"/>
      <c r="O40" s="27">
        <f>IF(AND(M40="",N40=""),"",IF(OR(M40="No Hit",N40="No Hit"),"Loss",IF(AND(M40="Hit",N40="Hit"),"Win","Pending")))</f>
        <v/>
      </c>
      <c r="P40" s="28">
        <f>IF(OR(K40="",L40=""),"",IF(K40&gt;0,L40*(K40/100),L40*(100/(-K40))))</f>
        <v/>
      </c>
      <c r="Q40" s="29">
        <f>IF(O40="Win",P40,IF(O40="Loss",-L40,""))</f>
        <v/>
      </c>
      <c r="R40" s="29">
        <f>IF(Q40="","",SUM($Q$2:Q40))</f>
        <v/>
      </c>
      <c r="S40" s="25" t="n"/>
    </row>
    <row r="41">
      <c r="A41" s="24" t="n"/>
      <c r="B41" s="25" t="n"/>
      <c r="C41" s="27" t="n"/>
      <c r="D41" s="26" t="n"/>
      <c r="E41" s="27" t="n"/>
      <c r="F41" s="25" t="n"/>
      <c r="G41" s="27" t="n"/>
      <c r="H41" s="26" t="n"/>
      <c r="I41" s="27" t="n"/>
      <c r="J41" s="27" t="n"/>
      <c r="K41" s="27" t="n"/>
      <c r="L41" s="28" t="n"/>
      <c r="M41" s="27" t="n"/>
      <c r="N41" s="27" t="n"/>
      <c r="O41" s="27">
        <f>IF(AND(M41="",N41=""),"",IF(OR(M41="No Hit",N41="No Hit"),"Loss",IF(AND(M41="Hit",N41="Hit"),"Win","Pending")))</f>
        <v/>
      </c>
      <c r="P41" s="28">
        <f>IF(OR(K41="",L41=""),"",IF(K41&gt;0,L41*(K41/100),L41*(100/(-K41))))</f>
        <v/>
      </c>
      <c r="Q41" s="29">
        <f>IF(O41="Win",P41,IF(O41="Loss",-L41,""))</f>
        <v/>
      </c>
      <c r="R41" s="29">
        <f>IF(Q41="","",SUM($Q$2:Q41))</f>
        <v/>
      </c>
      <c r="S41" s="25" t="n"/>
    </row>
    <row r="42">
      <c r="A42" s="24" t="n"/>
      <c r="B42" s="25" t="n"/>
      <c r="C42" s="27" t="n"/>
      <c r="D42" s="26" t="n"/>
      <c r="E42" s="27" t="n"/>
      <c r="F42" s="25" t="n"/>
      <c r="G42" s="27" t="n"/>
      <c r="H42" s="26" t="n"/>
      <c r="I42" s="27" t="n"/>
      <c r="J42" s="27" t="n"/>
      <c r="K42" s="27" t="n"/>
      <c r="L42" s="28" t="n"/>
      <c r="M42" s="27" t="n"/>
      <c r="N42" s="27" t="n"/>
      <c r="O42" s="27">
        <f>IF(AND(M42="",N42=""),"",IF(OR(M42="No Hit",N42="No Hit"),"Loss",IF(AND(M42="Hit",N42="Hit"),"Win","Pending")))</f>
        <v/>
      </c>
      <c r="P42" s="28">
        <f>IF(OR(K42="",L42=""),"",IF(K42&gt;0,L42*(K42/100),L42*(100/(-K42))))</f>
        <v/>
      </c>
      <c r="Q42" s="29">
        <f>IF(O42="Win",P42,IF(O42="Loss",-L42,""))</f>
        <v/>
      </c>
      <c r="R42" s="29">
        <f>IF(Q42="","",SUM($Q$2:Q42))</f>
        <v/>
      </c>
      <c r="S42" s="25" t="n"/>
    </row>
    <row r="43">
      <c r="A43" s="24" t="n"/>
      <c r="B43" s="25" t="n"/>
      <c r="C43" s="27" t="n"/>
      <c r="D43" s="26" t="n"/>
      <c r="E43" s="27" t="n"/>
      <c r="F43" s="25" t="n"/>
      <c r="G43" s="27" t="n"/>
      <c r="H43" s="26" t="n"/>
      <c r="I43" s="27" t="n"/>
      <c r="J43" s="27" t="n"/>
      <c r="K43" s="27" t="n"/>
      <c r="L43" s="28" t="n"/>
      <c r="M43" s="27" t="n"/>
      <c r="N43" s="27" t="n"/>
      <c r="O43" s="27">
        <f>IF(AND(M43="",N43=""),"",IF(OR(M43="No Hit",N43="No Hit"),"Loss",IF(AND(M43="Hit",N43="Hit"),"Win","Pending")))</f>
        <v/>
      </c>
      <c r="P43" s="28">
        <f>IF(OR(K43="",L43=""),"",IF(K43&gt;0,L43*(K43/100),L43*(100/(-K43))))</f>
        <v/>
      </c>
      <c r="Q43" s="29">
        <f>IF(O43="Win",P43,IF(O43="Loss",-L43,""))</f>
        <v/>
      </c>
      <c r="R43" s="29">
        <f>IF(Q43="","",SUM($Q$2:Q43))</f>
        <v/>
      </c>
      <c r="S43" s="25" t="n"/>
    </row>
    <row r="44">
      <c r="A44" s="24" t="n"/>
      <c r="B44" s="25" t="n"/>
      <c r="C44" s="27" t="n"/>
      <c r="D44" s="26" t="n"/>
      <c r="E44" s="27" t="n"/>
      <c r="F44" s="25" t="n"/>
      <c r="G44" s="27" t="n"/>
      <c r="H44" s="26" t="n"/>
      <c r="I44" s="27" t="n"/>
      <c r="J44" s="27" t="n"/>
      <c r="K44" s="27" t="n"/>
      <c r="L44" s="28" t="n"/>
      <c r="M44" s="27" t="n"/>
      <c r="N44" s="27" t="n"/>
      <c r="O44" s="27">
        <f>IF(AND(M44="",N44=""),"",IF(OR(M44="No Hit",N44="No Hit"),"Loss",IF(AND(M44="Hit",N44="Hit"),"Win","Pending")))</f>
        <v/>
      </c>
      <c r="P44" s="28">
        <f>IF(OR(K44="",L44=""),"",IF(K44&gt;0,L44*(K44/100),L44*(100/(-K44))))</f>
        <v/>
      </c>
      <c r="Q44" s="29">
        <f>IF(O44="Win",P44,IF(O44="Loss",-L44,""))</f>
        <v/>
      </c>
      <c r="R44" s="29">
        <f>IF(Q44="","",SUM($Q$2:Q44))</f>
        <v/>
      </c>
      <c r="S44" s="25" t="n"/>
    </row>
    <row r="45">
      <c r="A45" s="24" t="n"/>
      <c r="B45" s="25" t="n"/>
      <c r="C45" s="27" t="n"/>
      <c r="D45" s="26" t="n"/>
      <c r="E45" s="27" t="n"/>
      <c r="F45" s="25" t="n"/>
      <c r="G45" s="27" t="n"/>
      <c r="H45" s="26" t="n"/>
      <c r="I45" s="27" t="n"/>
      <c r="J45" s="27" t="n"/>
      <c r="K45" s="27" t="n"/>
      <c r="L45" s="28" t="n"/>
      <c r="M45" s="27" t="n"/>
      <c r="N45" s="27" t="n"/>
      <c r="O45" s="27">
        <f>IF(AND(M45="",N45=""),"",IF(OR(M45="No Hit",N45="No Hit"),"Loss",IF(AND(M45="Hit",N45="Hit"),"Win","Pending")))</f>
        <v/>
      </c>
      <c r="P45" s="28">
        <f>IF(OR(K45="",L45=""),"",IF(K45&gt;0,L45*(K45/100),L45*(100/(-K45))))</f>
        <v/>
      </c>
      <c r="Q45" s="29">
        <f>IF(O45="Win",P45,IF(O45="Loss",-L45,""))</f>
        <v/>
      </c>
      <c r="R45" s="29">
        <f>IF(Q45="","",SUM($Q$2:Q45))</f>
        <v/>
      </c>
      <c r="S45" s="25" t="n"/>
    </row>
    <row r="46">
      <c r="A46" s="24" t="n"/>
      <c r="B46" s="25" t="n"/>
      <c r="C46" s="27" t="n"/>
      <c r="D46" s="26" t="n"/>
      <c r="E46" s="27" t="n"/>
      <c r="F46" s="25" t="n"/>
      <c r="G46" s="27" t="n"/>
      <c r="H46" s="26" t="n"/>
      <c r="I46" s="27" t="n"/>
      <c r="J46" s="27" t="n"/>
      <c r="K46" s="27" t="n"/>
      <c r="L46" s="28" t="n"/>
      <c r="M46" s="27" t="n"/>
      <c r="N46" s="27" t="n"/>
      <c r="O46" s="27">
        <f>IF(AND(M46="",N46=""),"",IF(OR(M46="No Hit",N46="No Hit"),"Loss",IF(AND(M46="Hit",N46="Hit"),"Win","Pending")))</f>
        <v/>
      </c>
      <c r="P46" s="28">
        <f>IF(OR(K46="",L46=""),"",IF(K46&gt;0,L46*(K46/100),L46*(100/(-K46))))</f>
        <v/>
      </c>
      <c r="Q46" s="29">
        <f>IF(O46="Win",P46,IF(O46="Loss",-L46,""))</f>
        <v/>
      </c>
      <c r="R46" s="29">
        <f>IF(Q46="","",SUM($Q$2:Q46))</f>
        <v/>
      </c>
      <c r="S46" s="25" t="n"/>
    </row>
    <row r="47">
      <c r="A47" s="24" t="n"/>
      <c r="B47" s="25" t="n"/>
      <c r="C47" s="27" t="n"/>
      <c r="D47" s="26" t="n"/>
      <c r="E47" s="27" t="n"/>
      <c r="F47" s="25" t="n"/>
      <c r="G47" s="27" t="n"/>
      <c r="H47" s="26" t="n"/>
      <c r="I47" s="27" t="n"/>
      <c r="J47" s="27" t="n"/>
      <c r="K47" s="27" t="n"/>
      <c r="L47" s="28" t="n"/>
      <c r="M47" s="27" t="n"/>
      <c r="N47" s="27" t="n"/>
      <c r="O47" s="27">
        <f>IF(AND(M47="",N47=""),"",IF(OR(M47="No Hit",N47="No Hit"),"Loss",IF(AND(M47="Hit",N47="Hit"),"Win","Pending")))</f>
        <v/>
      </c>
      <c r="P47" s="28">
        <f>IF(OR(K47="",L47=""),"",IF(K47&gt;0,L47*(K47/100),L47*(100/(-K47))))</f>
        <v/>
      </c>
      <c r="Q47" s="29">
        <f>IF(O47="Win",P47,IF(O47="Loss",-L47,""))</f>
        <v/>
      </c>
      <c r="R47" s="29">
        <f>IF(Q47="","",SUM($Q$2:Q47))</f>
        <v/>
      </c>
      <c r="S47" s="25" t="n"/>
    </row>
    <row r="48">
      <c r="A48" s="24" t="n"/>
      <c r="B48" s="25" t="n"/>
      <c r="C48" s="27" t="n"/>
      <c r="D48" s="26" t="n"/>
      <c r="E48" s="27" t="n"/>
      <c r="F48" s="25" t="n"/>
      <c r="G48" s="27" t="n"/>
      <c r="H48" s="26" t="n"/>
      <c r="I48" s="27" t="n"/>
      <c r="J48" s="27" t="n"/>
      <c r="K48" s="27" t="n"/>
      <c r="L48" s="28" t="n"/>
      <c r="M48" s="27" t="n"/>
      <c r="N48" s="27" t="n"/>
      <c r="O48" s="27">
        <f>IF(AND(M48="",N48=""),"",IF(OR(M48="No Hit",N48="No Hit"),"Loss",IF(AND(M48="Hit",N48="Hit"),"Win","Pending")))</f>
        <v/>
      </c>
      <c r="P48" s="28">
        <f>IF(OR(K48="",L48=""),"",IF(K48&gt;0,L48*(K48/100),L48*(100/(-K48))))</f>
        <v/>
      </c>
      <c r="Q48" s="29">
        <f>IF(O48="Win",P48,IF(O48="Loss",-L48,""))</f>
        <v/>
      </c>
      <c r="R48" s="29">
        <f>IF(Q48="","",SUM($Q$2:Q48))</f>
        <v/>
      </c>
      <c r="S48" s="25" t="n"/>
    </row>
    <row r="49">
      <c r="A49" s="24" t="n"/>
      <c r="B49" s="25" t="n"/>
      <c r="C49" s="27" t="n"/>
      <c r="D49" s="26" t="n"/>
      <c r="E49" s="27" t="n"/>
      <c r="F49" s="25" t="n"/>
      <c r="G49" s="27" t="n"/>
      <c r="H49" s="26" t="n"/>
      <c r="I49" s="27" t="n"/>
      <c r="J49" s="27" t="n"/>
      <c r="K49" s="27" t="n"/>
      <c r="L49" s="28" t="n"/>
      <c r="M49" s="27" t="n"/>
      <c r="N49" s="27" t="n"/>
      <c r="O49" s="27">
        <f>IF(AND(M49="",N49=""),"",IF(OR(M49="No Hit",N49="No Hit"),"Loss",IF(AND(M49="Hit",N49="Hit"),"Win","Pending")))</f>
        <v/>
      </c>
      <c r="P49" s="28">
        <f>IF(OR(K49="",L49=""),"",IF(K49&gt;0,L49*(K49/100),L49*(100/(-K49))))</f>
        <v/>
      </c>
      <c r="Q49" s="29">
        <f>IF(O49="Win",P49,IF(O49="Loss",-L49,""))</f>
        <v/>
      </c>
      <c r="R49" s="29">
        <f>IF(Q49="","",SUM($Q$2:Q49))</f>
        <v/>
      </c>
      <c r="S49" s="25" t="n"/>
    </row>
    <row r="50">
      <c r="A50" s="24" t="n"/>
      <c r="B50" s="25" t="n"/>
      <c r="C50" s="27" t="n"/>
      <c r="D50" s="26" t="n"/>
      <c r="E50" s="27" t="n"/>
      <c r="F50" s="25" t="n"/>
      <c r="G50" s="27" t="n"/>
      <c r="H50" s="26" t="n"/>
      <c r="I50" s="27" t="n"/>
      <c r="J50" s="27" t="n"/>
      <c r="K50" s="27" t="n"/>
      <c r="L50" s="28" t="n"/>
      <c r="M50" s="27" t="n"/>
      <c r="N50" s="27" t="n"/>
      <c r="O50" s="27">
        <f>IF(AND(M50="",N50=""),"",IF(OR(M50="No Hit",N50="No Hit"),"Loss",IF(AND(M50="Hit",N50="Hit"),"Win","Pending")))</f>
        <v/>
      </c>
      <c r="P50" s="28">
        <f>IF(OR(K50="",L50=""),"",IF(K50&gt;0,L50*(K50/100),L50*(100/(-K50))))</f>
        <v/>
      </c>
      <c r="Q50" s="29">
        <f>IF(O50="Win",P50,IF(O50="Loss",-L50,""))</f>
        <v/>
      </c>
      <c r="R50" s="29">
        <f>IF(Q50="","",SUM($Q$2:Q50))</f>
        <v/>
      </c>
      <c r="S50" s="25" t="n"/>
    </row>
    <row r="51">
      <c r="A51" s="24" t="n"/>
      <c r="B51" s="25" t="n"/>
      <c r="C51" s="27" t="n"/>
      <c r="D51" s="26" t="n"/>
      <c r="E51" s="27" t="n"/>
      <c r="F51" s="25" t="n"/>
      <c r="G51" s="27" t="n"/>
      <c r="H51" s="26" t="n"/>
      <c r="I51" s="27" t="n"/>
      <c r="J51" s="27" t="n"/>
      <c r="K51" s="27" t="n"/>
      <c r="L51" s="28" t="n"/>
      <c r="M51" s="27" t="n"/>
      <c r="N51" s="27" t="n"/>
      <c r="O51" s="27">
        <f>IF(AND(M51="",N51=""),"",IF(OR(M51="No Hit",N51="No Hit"),"Loss",IF(AND(M51="Hit",N51="Hit"),"Win","Pending")))</f>
        <v/>
      </c>
      <c r="P51" s="28">
        <f>IF(OR(K51="",L51=""),"",IF(K51&gt;0,L51*(K51/100),L51*(100/(-K51))))</f>
        <v/>
      </c>
      <c r="Q51" s="29">
        <f>IF(O51="Win",P51,IF(O51="Loss",-L51,""))</f>
        <v/>
      </c>
      <c r="R51" s="29">
        <f>IF(Q51="","",SUM($Q$2:Q51))</f>
        <v/>
      </c>
      <c r="S51" s="25" t="n"/>
    </row>
    <row r="52">
      <c r="A52" s="24" t="n"/>
      <c r="B52" s="25" t="n"/>
      <c r="C52" s="27" t="n"/>
      <c r="D52" s="26" t="n"/>
      <c r="E52" s="27" t="n"/>
      <c r="F52" s="25" t="n"/>
      <c r="G52" s="27" t="n"/>
      <c r="H52" s="26" t="n"/>
      <c r="I52" s="27" t="n"/>
      <c r="J52" s="27" t="n"/>
      <c r="K52" s="27" t="n"/>
      <c r="L52" s="28" t="n"/>
      <c r="M52" s="27" t="n"/>
      <c r="N52" s="27" t="n"/>
      <c r="O52" s="27">
        <f>IF(AND(M52="",N52=""),"",IF(OR(M52="No Hit",N52="No Hit"),"Loss",IF(AND(M52="Hit",N52="Hit"),"Win","Pending")))</f>
        <v/>
      </c>
      <c r="P52" s="28">
        <f>IF(OR(K52="",L52=""),"",IF(K52&gt;0,L52*(K52/100),L52*(100/(-K52))))</f>
        <v/>
      </c>
      <c r="Q52" s="29">
        <f>IF(O52="Win",P52,IF(O52="Loss",-L52,""))</f>
        <v/>
      </c>
      <c r="R52" s="29">
        <f>IF(Q52="","",SUM($Q$2:Q52))</f>
        <v/>
      </c>
      <c r="S52" s="25" t="n"/>
    </row>
    <row r="53">
      <c r="A53" s="24" t="n"/>
      <c r="B53" s="25" t="n"/>
      <c r="C53" s="27" t="n"/>
      <c r="D53" s="26" t="n"/>
      <c r="E53" s="27" t="n"/>
      <c r="F53" s="25" t="n"/>
      <c r="G53" s="27" t="n"/>
      <c r="H53" s="26" t="n"/>
      <c r="I53" s="27" t="n"/>
      <c r="J53" s="27" t="n"/>
      <c r="K53" s="27" t="n"/>
      <c r="L53" s="28" t="n"/>
      <c r="M53" s="27" t="n"/>
      <c r="N53" s="27" t="n"/>
      <c r="O53" s="27">
        <f>IF(AND(M53="",N53=""),"",IF(OR(M53="No Hit",N53="No Hit"),"Loss",IF(AND(M53="Hit",N53="Hit"),"Win","Pending")))</f>
        <v/>
      </c>
      <c r="P53" s="28">
        <f>IF(OR(K53="",L53=""),"",IF(K53&gt;0,L53*(K53/100),L53*(100/(-K53))))</f>
        <v/>
      </c>
      <c r="Q53" s="29">
        <f>IF(O53="Win",P53,IF(O53="Loss",-L53,""))</f>
        <v/>
      </c>
      <c r="R53" s="29">
        <f>IF(Q53="","",SUM($Q$2:Q53))</f>
        <v/>
      </c>
      <c r="S53" s="25" t="n"/>
    </row>
    <row r="54">
      <c r="A54" s="24" t="n"/>
      <c r="B54" s="25" t="n"/>
      <c r="C54" s="27" t="n"/>
      <c r="D54" s="26" t="n"/>
      <c r="E54" s="27" t="n"/>
      <c r="F54" s="25" t="n"/>
      <c r="G54" s="27" t="n"/>
      <c r="H54" s="26" t="n"/>
      <c r="I54" s="27" t="n"/>
      <c r="J54" s="27" t="n"/>
      <c r="K54" s="27" t="n"/>
      <c r="L54" s="28" t="n"/>
      <c r="M54" s="27" t="n"/>
      <c r="N54" s="27" t="n"/>
      <c r="O54" s="27">
        <f>IF(AND(M54="",N54=""),"",IF(OR(M54="No Hit",N54="No Hit"),"Loss",IF(AND(M54="Hit",N54="Hit"),"Win","Pending")))</f>
        <v/>
      </c>
      <c r="P54" s="28">
        <f>IF(OR(K54="",L54=""),"",IF(K54&gt;0,L54*(K54/100),L54*(100/(-K54))))</f>
        <v/>
      </c>
      <c r="Q54" s="29">
        <f>IF(O54="Win",P54,IF(O54="Loss",-L54,""))</f>
        <v/>
      </c>
      <c r="R54" s="29">
        <f>IF(Q54="","",SUM($Q$2:Q54))</f>
        <v/>
      </c>
      <c r="S54" s="25" t="n"/>
    </row>
    <row r="55">
      <c r="A55" s="24" t="n"/>
      <c r="B55" s="25" t="n"/>
      <c r="C55" s="27" t="n"/>
      <c r="D55" s="26" t="n"/>
      <c r="E55" s="27" t="n"/>
      <c r="F55" s="25" t="n"/>
      <c r="G55" s="27" t="n"/>
      <c r="H55" s="26" t="n"/>
      <c r="I55" s="27" t="n"/>
      <c r="J55" s="27" t="n"/>
      <c r="K55" s="27" t="n"/>
      <c r="L55" s="28" t="n"/>
      <c r="M55" s="27" t="n"/>
      <c r="N55" s="27" t="n"/>
      <c r="O55" s="27">
        <f>IF(AND(M55="",N55=""),"",IF(OR(M55="No Hit",N55="No Hit"),"Loss",IF(AND(M55="Hit",N55="Hit"),"Win","Pending")))</f>
        <v/>
      </c>
      <c r="P55" s="28">
        <f>IF(OR(K55="",L55=""),"",IF(K55&gt;0,L55*(K55/100),L55*(100/(-K55))))</f>
        <v/>
      </c>
      <c r="Q55" s="29">
        <f>IF(O55="Win",P55,IF(O55="Loss",-L55,""))</f>
        <v/>
      </c>
      <c r="R55" s="29">
        <f>IF(Q55="","",SUM($Q$2:Q55))</f>
        <v/>
      </c>
      <c r="S55" s="25" t="n"/>
    </row>
    <row r="56">
      <c r="A56" s="24" t="n"/>
      <c r="B56" s="25" t="n"/>
      <c r="C56" s="27" t="n"/>
      <c r="D56" s="26" t="n"/>
      <c r="E56" s="27" t="n"/>
      <c r="F56" s="25" t="n"/>
      <c r="G56" s="27" t="n"/>
      <c r="H56" s="26" t="n"/>
      <c r="I56" s="27" t="n"/>
      <c r="J56" s="27" t="n"/>
      <c r="K56" s="27" t="n"/>
      <c r="L56" s="28" t="n"/>
      <c r="M56" s="27" t="n"/>
      <c r="N56" s="27" t="n"/>
      <c r="O56" s="27">
        <f>IF(AND(M56="",N56=""),"",IF(OR(M56="No Hit",N56="No Hit"),"Loss",IF(AND(M56="Hit",N56="Hit"),"Win","Pending")))</f>
        <v/>
      </c>
      <c r="P56" s="28">
        <f>IF(OR(K56="",L56=""),"",IF(K56&gt;0,L56*(K56/100),L56*(100/(-K56))))</f>
        <v/>
      </c>
      <c r="Q56" s="29">
        <f>IF(O56="Win",P56,IF(O56="Loss",-L56,""))</f>
        <v/>
      </c>
      <c r="R56" s="29">
        <f>IF(Q56="","",SUM($Q$2:Q56))</f>
        <v/>
      </c>
      <c r="S56" s="25" t="n"/>
    </row>
    <row r="57">
      <c r="A57" s="24" t="n"/>
      <c r="B57" s="25" t="n"/>
      <c r="C57" s="27" t="n"/>
      <c r="D57" s="26" t="n"/>
      <c r="E57" s="27" t="n"/>
      <c r="F57" s="25" t="n"/>
      <c r="G57" s="27" t="n"/>
      <c r="H57" s="26" t="n"/>
      <c r="I57" s="27" t="n"/>
      <c r="J57" s="27" t="n"/>
      <c r="K57" s="27" t="n"/>
      <c r="L57" s="28" t="n"/>
      <c r="M57" s="27" t="n"/>
      <c r="N57" s="27" t="n"/>
      <c r="O57" s="27">
        <f>IF(AND(M57="",N57=""),"",IF(OR(M57="No Hit",N57="No Hit"),"Loss",IF(AND(M57="Hit",N57="Hit"),"Win","Pending")))</f>
        <v/>
      </c>
      <c r="P57" s="28">
        <f>IF(OR(K57="",L57=""),"",IF(K57&gt;0,L57*(K57/100),L57*(100/(-K57))))</f>
        <v/>
      </c>
      <c r="Q57" s="29">
        <f>IF(O57="Win",P57,IF(O57="Loss",-L57,""))</f>
        <v/>
      </c>
      <c r="R57" s="29">
        <f>IF(Q57="","",SUM($Q$2:Q57))</f>
        <v/>
      </c>
      <c r="S57" s="25" t="n"/>
    </row>
    <row r="58">
      <c r="A58" s="24" t="n"/>
      <c r="B58" s="25" t="n"/>
      <c r="C58" s="27" t="n"/>
      <c r="D58" s="26" t="n"/>
      <c r="E58" s="27" t="n"/>
      <c r="F58" s="25" t="n"/>
      <c r="G58" s="27" t="n"/>
      <c r="H58" s="26" t="n"/>
      <c r="I58" s="27" t="n"/>
      <c r="J58" s="27" t="n"/>
      <c r="K58" s="27" t="n"/>
      <c r="L58" s="28" t="n"/>
      <c r="M58" s="27" t="n"/>
      <c r="N58" s="27" t="n"/>
      <c r="O58" s="27">
        <f>IF(AND(M58="",N58=""),"",IF(OR(M58="No Hit",N58="No Hit"),"Loss",IF(AND(M58="Hit",N58="Hit"),"Win","Pending")))</f>
        <v/>
      </c>
      <c r="P58" s="28">
        <f>IF(OR(K58="",L58=""),"",IF(K58&gt;0,L58*(K58/100),L58*(100/(-K58))))</f>
        <v/>
      </c>
      <c r="Q58" s="29">
        <f>IF(O58="Win",P58,IF(O58="Loss",-L58,""))</f>
        <v/>
      </c>
      <c r="R58" s="29">
        <f>IF(Q58="","",SUM($Q$2:Q58))</f>
        <v/>
      </c>
      <c r="S58" s="25" t="n"/>
    </row>
    <row r="59">
      <c r="A59" s="24" t="n"/>
      <c r="B59" s="25" t="n"/>
      <c r="C59" s="27" t="n"/>
      <c r="D59" s="26" t="n"/>
      <c r="E59" s="27" t="n"/>
      <c r="F59" s="25" t="n"/>
      <c r="G59" s="27" t="n"/>
      <c r="H59" s="26" t="n"/>
      <c r="I59" s="27" t="n"/>
      <c r="J59" s="27" t="n"/>
      <c r="K59" s="27" t="n"/>
      <c r="L59" s="28" t="n"/>
      <c r="M59" s="27" t="n"/>
      <c r="N59" s="27" t="n"/>
      <c r="O59" s="27">
        <f>IF(AND(M59="",N59=""),"",IF(OR(M59="No Hit",N59="No Hit"),"Loss",IF(AND(M59="Hit",N59="Hit"),"Win","Pending")))</f>
        <v/>
      </c>
      <c r="P59" s="28">
        <f>IF(OR(K59="",L59=""),"",IF(K59&gt;0,L59*(K59/100),L59*(100/(-K59))))</f>
        <v/>
      </c>
      <c r="Q59" s="29">
        <f>IF(O59="Win",P59,IF(O59="Loss",-L59,""))</f>
        <v/>
      </c>
      <c r="R59" s="29">
        <f>IF(Q59="","",SUM($Q$2:Q59))</f>
        <v/>
      </c>
      <c r="S59" s="25" t="n"/>
    </row>
    <row r="60">
      <c r="A60" s="24" t="n"/>
      <c r="B60" s="25" t="n"/>
      <c r="C60" s="27" t="n"/>
      <c r="D60" s="26" t="n"/>
      <c r="E60" s="27" t="n"/>
      <c r="F60" s="25" t="n"/>
      <c r="G60" s="27" t="n"/>
      <c r="H60" s="26" t="n"/>
      <c r="I60" s="27" t="n"/>
      <c r="J60" s="27" t="n"/>
      <c r="K60" s="27" t="n"/>
      <c r="L60" s="28" t="n"/>
      <c r="M60" s="27" t="n"/>
      <c r="N60" s="27" t="n"/>
      <c r="O60" s="27">
        <f>IF(AND(M60="",N60=""),"",IF(OR(M60="No Hit",N60="No Hit"),"Loss",IF(AND(M60="Hit",N60="Hit"),"Win","Pending")))</f>
        <v/>
      </c>
      <c r="P60" s="28">
        <f>IF(OR(K60="",L60=""),"",IF(K60&gt;0,L60*(K60/100),L60*(100/(-K60))))</f>
        <v/>
      </c>
      <c r="Q60" s="29">
        <f>IF(O60="Win",P60,IF(O60="Loss",-L60,""))</f>
        <v/>
      </c>
      <c r="R60" s="29">
        <f>IF(Q60="","",SUM($Q$2:Q60))</f>
        <v/>
      </c>
      <c r="S60" s="25" t="n"/>
    </row>
    <row r="61">
      <c r="A61" s="24" t="n"/>
      <c r="B61" s="25" t="n"/>
      <c r="C61" s="27" t="n"/>
      <c r="D61" s="26" t="n"/>
      <c r="E61" s="27" t="n"/>
      <c r="F61" s="25" t="n"/>
      <c r="G61" s="27" t="n"/>
      <c r="H61" s="26" t="n"/>
      <c r="I61" s="27" t="n"/>
      <c r="J61" s="27" t="n"/>
      <c r="K61" s="27" t="n"/>
      <c r="L61" s="28" t="n"/>
      <c r="M61" s="27" t="n"/>
      <c r="N61" s="27" t="n"/>
      <c r="O61" s="27">
        <f>IF(AND(M61="",N61=""),"",IF(OR(M61="No Hit",N61="No Hit"),"Loss",IF(AND(M61="Hit",N61="Hit"),"Win","Pending")))</f>
        <v/>
      </c>
      <c r="P61" s="28">
        <f>IF(OR(K61="",L61=""),"",IF(K61&gt;0,L61*(K61/100),L61*(100/(-K61))))</f>
        <v/>
      </c>
      <c r="Q61" s="29">
        <f>IF(O61="Win",P61,IF(O61="Loss",-L61,""))</f>
        <v/>
      </c>
      <c r="R61" s="29">
        <f>IF(Q61="","",SUM($Q$2:Q61))</f>
        <v/>
      </c>
      <c r="S61" s="25" t="n"/>
    </row>
    <row r="62">
      <c r="A62" s="24" t="n"/>
      <c r="B62" s="25" t="n"/>
      <c r="C62" s="27" t="n"/>
      <c r="D62" s="26" t="n"/>
      <c r="E62" s="27" t="n"/>
      <c r="F62" s="25" t="n"/>
      <c r="G62" s="27" t="n"/>
      <c r="H62" s="26" t="n"/>
      <c r="I62" s="27" t="n"/>
      <c r="J62" s="27" t="n"/>
      <c r="K62" s="27" t="n"/>
      <c r="L62" s="28" t="n"/>
      <c r="M62" s="27" t="n"/>
      <c r="N62" s="27" t="n"/>
      <c r="O62" s="27">
        <f>IF(AND(M62="",N62=""),"",IF(OR(M62="No Hit",N62="No Hit"),"Loss",IF(AND(M62="Hit",N62="Hit"),"Win","Pending")))</f>
        <v/>
      </c>
      <c r="P62" s="28">
        <f>IF(OR(K62="",L62=""),"",IF(K62&gt;0,L62*(K62/100),L62*(100/(-K62))))</f>
        <v/>
      </c>
      <c r="Q62" s="29">
        <f>IF(O62="Win",P62,IF(O62="Loss",-L62,""))</f>
        <v/>
      </c>
      <c r="R62" s="29">
        <f>IF(Q62="","",SUM($Q$2:Q62))</f>
        <v/>
      </c>
      <c r="S62" s="25" t="n"/>
    </row>
    <row r="63">
      <c r="A63" s="24" t="n"/>
      <c r="B63" s="25" t="n"/>
      <c r="C63" s="27" t="n"/>
      <c r="D63" s="26" t="n"/>
      <c r="E63" s="27" t="n"/>
      <c r="F63" s="25" t="n"/>
      <c r="G63" s="27" t="n"/>
      <c r="H63" s="26" t="n"/>
      <c r="I63" s="27" t="n"/>
      <c r="J63" s="27" t="n"/>
      <c r="K63" s="27" t="n"/>
      <c r="L63" s="28" t="n"/>
      <c r="M63" s="27" t="n"/>
      <c r="N63" s="27" t="n"/>
      <c r="O63" s="27">
        <f>IF(AND(M63="",N63=""),"",IF(OR(M63="No Hit",N63="No Hit"),"Loss",IF(AND(M63="Hit",N63="Hit"),"Win","Pending")))</f>
        <v/>
      </c>
      <c r="P63" s="28">
        <f>IF(OR(K63="",L63=""),"",IF(K63&gt;0,L63*(K63/100),L63*(100/(-K63))))</f>
        <v/>
      </c>
      <c r="Q63" s="29">
        <f>IF(O63="Win",P63,IF(O63="Loss",-L63,""))</f>
        <v/>
      </c>
      <c r="R63" s="29">
        <f>IF(Q63="","",SUM($Q$2:Q63))</f>
        <v/>
      </c>
      <c r="S63" s="25" t="n"/>
    </row>
    <row r="64">
      <c r="A64" s="24" t="n"/>
      <c r="B64" s="25" t="n"/>
      <c r="C64" s="27" t="n"/>
      <c r="D64" s="26" t="n"/>
      <c r="E64" s="27" t="n"/>
      <c r="F64" s="25" t="n"/>
      <c r="G64" s="27" t="n"/>
      <c r="H64" s="26" t="n"/>
      <c r="I64" s="27" t="n"/>
      <c r="J64" s="27" t="n"/>
      <c r="K64" s="27" t="n"/>
      <c r="L64" s="28" t="n"/>
      <c r="M64" s="27" t="n"/>
      <c r="N64" s="27" t="n"/>
      <c r="O64" s="27">
        <f>IF(AND(M64="",N64=""),"",IF(OR(M64="No Hit",N64="No Hit"),"Loss",IF(AND(M64="Hit",N64="Hit"),"Win","Pending")))</f>
        <v/>
      </c>
      <c r="P64" s="28">
        <f>IF(OR(K64="",L64=""),"",IF(K64&gt;0,L64*(K64/100),L64*(100/(-K64))))</f>
        <v/>
      </c>
      <c r="Q64" s="29">
        <f>IF(O64="Win",P64,IF(O64="Loss",-L64,""))</f>
        <v/>
      </c>
      <c r="R64" s="29">
        <f>IF(Q64="","",SUM($Q$2:Q64))</f>
        <v/>
      </c>
      <c r="S64" s="25" t="n"/>
    </row>
    <row r="65">
      <c r="A65" s="24" t="n"/>
      <c r="B65" s="25" t="n"/>
      <c r="C65" s="27" t="n"/>
      <c r="D65" s="26" t="n"/>
      <c r="E65" s="27" t="n"/>
      <c r="F65" s="25" t="n"/>
      <c r="G65" s="27" t="n"/>
      <c r="H65" s="26" t="n"/>
      <c r="I65" s="27" t="n"/>
      <c r="J65" s="27" t="n"/>
      <c r="K65" s="27" t="n"/>
      <c r="L65" s="28" t="n"/>
      <c r="M65" s="27" t="n"/>
      <c r="N65" s="27" t="n"/>
      <c r="O65" s="27">
        <f>IF(AND(M65="",N65=""),"",IF(OR(M65="No Hit",N65="No Hit"),"Loss",IF(AND(M65="Hit",N65="Hit"),"Win","Pending")))</f>
        <v/>
      </c>
      <c r="P65" s="28">
        <f>IF(OR(K65="",L65=""),"",IF(K65&gt;0,L65*(K65/100),L65*(100/(-K65))))</f>
        <v/>
      </c>
      <c r="Q65" s="29">
        <f>IF(O65="Win",P65,IF(O65="Loss",-L65,""))</f>
        <v/>
      </c>
      <c r="R65" s="29">
        <f>IF(Q65="","",SUM($Q$2:Q65))</f>
        <v/>
      </c>
      <c r="S65" s="25" t="n"/>
    </row>
    <row r="66">
      <c r="A66" s="24" t="n"/>
      <c r="B66" s="25" t="n"/>
      <c r="C66" s="27" t="n"/>
      <c r="D66" s="26" t="n"/>
      <c r="E66" s="27" t="n"/>
      <c r="F66" s="25" t="n"/>
      <c r="G66" s="27" t="n"/>
      <c r="H66" s="26" t="n"/>
      <c r="I66" s="27" t="n"/>
      <c r="J66" s="27" t="n"/>
      <c r="K66" s="27" t="n"/>
      <c r="L66" s="28" t="n"/>
      <c r="M66" s="27" t="n"/>
      <c r="N66" s="27" t="n"/>
      <c r="O66" s="27">
        <f>IF(AND(M66="",N66=""),"",IF(OR(M66="No Hit",N66="No Hit"),"Loss",IF(AND(M66="Hit",N66="Hit"),"Win","Pending")))</f>
        <v/>
      </c>
      <c r="P66" s="28">
        <f>IF(OR(K66="",L66=""),"",IF(K66&gt;0,L66*(K66/100),L66*(100/(-K66))))</f>
        <v/>
      </c>
      <c r="Q66" s="29">
        <f>IF(O66="Win",P66,IF(O66="Loss",-L66,""))</f>
        <v/>
      </c>
      <c r="R66" s="29">
        <f>IF(Q66="","",SUM($Q$2:Q66))</f>
        <v/>
      </c>
      <c r="S66" s="25" t="n"/>
    </row>
    <row r="67">
      <c r="A67" s="24" t="n"/>
      <c r="B67" s="25" t="n"/>
      <c r="C67" s="27" t="n"/>
      <c r="D67" s="26" t="n"/>
      <c r="E67" s="27" t="n"/>
      <c r="F67" s="25" t="n"/>
      <c r="G67" s="27" t="n"/>
      <c r="H67" s="26" t="n"/>
      <c r="I67" s="27" t="n"/>
      <c r="J67" s="27" t="n"/>
      <c r="K67" s="27" t="n"/>
      <c r="L67" s="28" t="n"/>
      <c r="M67" s="27" t="n"/>
      <c r="N67" s="27" t="n"/>
      <c r="O67" s="27">
        <f>IF(AND(M67="",N67=""),"",IF(OR(M67="No Hit",N67="No Hit"),"Loss",IF(AND(M67="Hit",N67="Hit"),"Win","Pending")))</f>
        <v/>
      </c>
      <c r="P67" s="28">
        <f>IF(OR(K67="",L67=""),"",IF(K67&gt;0,L67*(K67/100),L67*(100/(-K67))))</f>
        <v/>
      </c>
      <c r="Q67" s="29">
        <f>IF(O67="Win",P67,IF(O67="Loss",-L67,""))</f>
        <v/>
      </c>
      <c r="R67" s="29">
        <f>IF(Q67="","",SUM($Q$2:Q67))</f>
        <v/>
      </c>
      <c r="S67" s="25" t="n"/>
    </row>
    <row r="68">
      <c r="A68" s="24" t="n"/>
      <c r="B68" s="25" t="n"/>
      <c r="C68" s="27" t="n"/>
      <c r="D68" s="26" t="n"/>
      <c r="E68" s="27" t="n"/>
      <c r="F68" s="25" t="n"/>
      <c r="G68" s="27" t="n"/>
      <c r="H68" s="26" t="n"/>
      <c r="I68" s="27" t="n"/>
      <c r="J68" s="27" t="n"/>
      <c r="K68" s="27" t="n"/>
      <c r="L68" s="28" t="n"/>
      <c r="M68" s="27" t="n"/>
      <c r="N68" s="27" t="n"/>
      <c r="O68" s="27">
        <f>IF(AND(M68="",N68=""),"",IF(OR(M68="No Hit",N68="No Hit"),"Loss",IF(AND(M68="Hit",N68="Hit"),"Win","Pending")))</f>
        <v/>
      </c>
      <c r="P68" s="28">
        <f>IF(OR(K68="",L68=""),"",IF(K68&gt;0,L68*(K68/100),L68*(100/(-K68))))</f>
        <v/>
      </c>
      <c r="Q68" s="29">
        <f>IF(O68="Win",P68,IF(O68="Loss",-L68,""))</f>
        <v/>
      </c>
      <c r="R68" s="29">
        <f>IF(Q68="","",SUM($Q$2:Q68))</f>
        <v/>
      </c>
      <c r="S68" s="25" t="n"/>
    </row>
    <row r="69">
      <c r="A69" s="24" t="n"/>
      <c r="B69" s="25" t="n"/>
      <c r="C69" s="27" t="n"/>
      <c r="D69" s="26" t="n"/>
      <c r="E69" s="27" t="n"/>
      <c r="F69" s="25" t="n"/>
      <c r="G69" s="27" t="n"/>
      <c r="H69" s="26" t="n"/>
      <c r="I69" s="27" t="n"/>
      <c r="J69" s="27" t="n"/>
      <c r="K69" s="27" t="n"/>
      <c r="L69" s="28" t="n"/>
      <c r="M69" s="27" t="n"/>
      <c r="N69" s="27" t="n"/>
      <c r="O69" s="27">
        <f>IF(AND(M69="",N69=""),"",IF(OR(M69="No Hit",N69="No Hit"),"Loss",IF(AND(M69="Hit",N69="Hit"),"Win","Pending")))</f>
        <v/>
      </c>
      <c r="P69" s="28">
        <f>IF(OR(K69="",L69=""),"",IF(K69&gt;0,L69*(K69/100),L69*(100/(-K69))))</f>
        <v/>
      </c>
      <c r="Q69" s="29">
        <f>IF(O69="Win",P69,IF(O69="Loss",-L69,""))</f>
        <v/>
      </c>
      <c r="R69" s="29">
        <f>IF(Q69="","",SUM($Q$2:Q69))</f>
        <v/>
      </c>
      <c r="S69" s="25" t="n"/>
    </row>
    <row r="70">
      <c r="A70" s="24" t="n"/>
      <c r="B70" s="25" t="n"/>
      <c r="C70" s="27" t="n"/>
      <c r="D70" s="26" t="n"/>
      <c r="E70" s="27" t="n"/>
      <c r="F70" s="25" t="n"/>
      <c r="G70" s="27" t="n"/>
      <c r="H70" s="26" t="n"/>
      <c r="I70" s="27" t="n"/>
      <c r="J70" s="27" t="n"/>
      <c r="K70" s="27" t="n"/>
      <c r="L70" s="28" t="n"/>
      <c r="M70" s="27" t="n"/>
      <c r="N70" s="27" t="n"/>
      <c r="O70" s="27">
        <f>IF(AND(M70="",N70=""),"",IF(OR(M70="No Hit",N70="No Hit"),"Loss",IF(AND(M70="Hit",N70="Hit"),"Win","Pending")))</f>
        <v/>
      </c>
      <c r="P70" s="28">
        <f>IF(OR(K70="",L70=""),"",IF(K70&gt;0,L70*(K70/100),L70*(100/(-K70))))</f>
        <v/>
      </c>
      <c r="Q70" s="29">
        <f>IF(O70="Win",P70,IF(O70="Loss",-L70,""))</f>
        <v/>
      </c>
      <c r="R70" s="29">
        <f>IF(Q70="","",SUM($Q$2:Q70))</f>
        <v/>
      </c>
      <c r="S70" s="25" t="n"/>
    </row>
    <row r="71">
      <c r="A71" s="24" t="n"/>
      <c r="B71" s="25" t="n"/>
      <c r="C71" s="27" t="n"/>
      <c r="D71" s="26" t="n"/>
      <c r="E71" s="27" t="n"/>
      <c r="F71" s="25" t="n"/>
      <c r="G71" s="27" t="n"/>
      <c r="H71" s="26" t="n"/>
      <c r="I71" s="27" t="n"/>
      <c r="J71" s="27" t="n"/>
      <c r="K71" s="27" t="n"/>
      <c r="L71" s="28" t="n"/>
      <c r="M71" s="27" t="n"/>
      <c r="N71" s="27" t="n"/>
      <c r="O71" s="27">
        <f>IF(AND(M71="",N71=""),"",IF(OR(M71="No Hit",N71="No Hit"),"Loss",IF(AND(M71="Hit",N71="Hit"),"Win","Pending")))</f>
        <v/>
      </c>
      <c r="P71" s="28">
        <f>IF(OR(K71="",L71=""),"",IF(K71&gt;0,L71*(K71/100),L71*(100/(-K71))))</f>
        <v/>
      </c>
      <c r="Q71" s="29">
        <f>IF(O71="Win",P71,IF(O71="Loss",-L71,""))</f>
        <v/>
      </c>
      <c r="R71" s="29">
        <f>IF(Q71="","",SUM($Q$2:Q71))</f>
        <v/>
      </c>
      <c r="S71" s="25" t="n"/>
    </row>
    <row r="72">
      <c r="A72" s="24" t="n"/>
      <c r="B72" s="25" t="n"/>
      <c r="C72" s="27" t="n"/>
      <c r="D72" s="26" t="n"/>
      <c r="E72" s="27" t="n"/>
      <c r="F72" s="25" t="n"/>
      <c r="G72" s="27" t="n"/>
      <c r="H72" s="26" t="n"/>
      <c r="I72" s="27" t="n"/>
      <c r="J72" s="27" t="n"/>
      <c r="K72" s="27" t="n"/>
      <c r="L72" s="28" t="n"/>
      <c r="M72" s="27" t="n"/>
      <c r="N72" s="27" t="n"/>
      <c r="O72" s="27">
        <f>IF(AND(M72="",N72=""),"",IF(OR(M72="No Hit",N72="No Hit"),"Loss",IF(AND(M72="Hit",N72="Hit"),"Win","Pending")))</f>
        <v/>
      </c>
      <c r="P72" s="28">
        <f>IF(OR(K72="",L72=""),"",IF(K72&gt;0,L72*(K72/100),L72*(100/(-K72))))</f>
        <v/>
      </c>
      <c r="Q72" s="29">
        <f>IF(O72="Win",P72,IF(O72="Loss",-L72,""))</f>
        <v/>
      </c>
      <c r="R72" s="29">
        <f>IF(Q72="","",SUM($Q$2:Q72))</f>
        <v/>
      </c>
      <c r="S72" s="25" t="n"/>
    </row>
    <row r="73">
      <c r="A73" s="24" t="n"/>
      <c r="B73" s="25" t="n"/>
      <c r="C73" s="27" t="n"/>
      <c r="D73" s="26" t="n"/>
      <c r="E73" s="27" t="n"/>
      <c r="F73" s="25" t="n"/>
      <c r="G73" s="27" t="n"/>
      <c r="H73" s="26" t="n"/>
      <c r="I73" s="27" t="n"/>
      <c r="J73" s="27" t="n"/>
      <c r="K73" s="27" t="n"/>
      <c r="L73" s="28" t="n"/>
      <c r="M73" s="27" t="n"/>
      <c r="N73" s="27" t="n"/>
      <c r="O73" s="27">
        <f>IF(AND(M73="",N73=""),"",IF(OR(M73="No Hit",N73="No Hit"),"Loss",IF(AND(M73="Hit",N73="Hit"),"Win","Pending")))</f>
        <v/>
      </c>
      <c r="P73" s="28">
        <f>IF(OR(K73="",L73=""),"",IF(K73&gt;0,L73*(K73/100),L73*(100/(-K73))))</f>
        <v/>
      </c>
      <c r="Q73" s="29">
        <f>IF(O73="Win",P73,IF(O73="Loss",-L73,""))</f>
        <v/>
      </c>
      <c r="R73" s="29">
        <f>IF(Q73="","",SUM($Q$2:Q73))</f>
        <v/>
      </c>
      <c r="S73" s="25" t="n"/>
    </row>
    <row r="74">
      <c r="A74" s="24" t="n"/>
      <c r="B74" s="25" t="n"/>
      <c r="C74" s="27" t="n"/>
      <c r="D74" s="26" t="n"/>
      <c r="E74" s="27" t="n"/>
      <c r="F74" s="25" t="n"/>
      <c r="G74" s="27" t="n"/>
      <c r="H74" s="26" t="n"/>
      <c r="I74" s="27" t="n"/>
      <c r="J74" s="27" t="n"/>
      <c r="K74" s="27" t="n"/>
      <c r="L74" s="28" t="n"/>
      <c r="M74" s="27" t="n"/>
      <c r="N74" s="27" t="n"/>
      <c r="O74" s="27">
        <f>IF(AND(M74="",N74=""),"",IF(OR(M74="No Hit",N74="No Hit"),"Loss",IF(AND(M74="Hit",N74="Hit"),"Win","Pending")))</f>
        <v/>
      </c>
      <c r="P74" s="28">
        <f>IF(OR(K74="",L74=""),"",IF(K74&gt;0,L74*(K74/100),L74*(100/(-K74))))</f>
        <v/>
      </c>
      <c r="Q74" s="29">
        <f>IF(O74="Win",P74,IF(O74="Loss",-L74,""))</f>
        <v/>
      </c>
      <c r="R74" s="29">
        <f>IF(Q74="","",SUM($Q$2:Q74))</f>
        <v/>
      </c>
      <c r="S74" s="25" t="n"/>
    </row>
    <row r="75">
      <c r="A75" s="24" t="n"/>
      <c r="B75" s="25" t="n"/>
      <c r="C75" s="27" t="n"/>
      <c r="D75" s="26" t="n"/>
      <c r="E75" s="27" t="n"/>
      <c r="F75" s="25" t="n"/>
      <c r="G75" s="27" t="n"/>
      <c r="H75" s="26" t="n"/>
      <c r="I75" s="27" t="n"/>
      <c r="J75" s="27" t="n"/>
      <c r="K75" s="27" t="n"/>
      <c r="L75" s="28" t="n"/>
      <c r="M75" s="27" t="n"/>
      <c r="N75" s="27" t="n"/>
      <c r="O75" s="27">
        <f>IF(AND(M75="",N75=""),"",IF(OR(M75="No Hit",N75="No Hit"),"Loss",IF(AND(M75="Hit",N75="Hit"),"Win","Pending")))</f>
        <v/>
      </c>
      <c r="P75" s="28">
        <f>IF(OR(K75="",L75=""),"",IF(K75&gt;0,L75*(K75/100),L75*(100/(-K75))))</f>
        <v/>
      </c>
      <c r="Q75" s="29">
        <f>IF(O75="Win",P75,IF(O75="Loss",-L75,""))</f>
        <v/>
      </c>
      <c r="R75" s="29">
        <f>IF(Q75="","",SUM($Q$2:Q75))</f>
        <v/>
      </c>
      <c r="S75" s="25" t="n"/>
    </row>
    <row r="76">
      <c r="A76" s="24" t="n"/>
      <c r="B76" s="25" t="n"/>
      <c r="C76" s="27" t="n"/>
      <c r="D76" s="26" t="n"/>
      <c r="E76" s="27" t="n"/>
      <c r="F76" s="25" t="n"/>
      <c r="G76" s="27" t="n"/>
      <c r="H76" s="26" t="n"/>
      <c r="I76" s="27" t="n"/>
      <c r="J76" s="27" t="n"/>
      <c r="K76" s="27" t="n"/>
      <c r="L76" s="28" t="n"/>
      <c r="M76" s="27" t="n"/>
      <c r="N76" s="27" t="n"/>
      <c r="O76" s="27">
        <f>IF(AND(M76="",N76=""),"",IF(OR(M76="No Hit",N76="No Hit"),"Loss",IF(AND(M76="Hit",N76="Hit"),"Win","Pending")))</f>
        <v/>
      </c>
      <c r="P76" s="28">
        <f>IF(OR(K76="",L76=""),"",IF(K76&gt;0,L76*(K76/100),L76*(100/(-K76))))</f>
        <v/>
      </c>
      <c r="Q76" s="29">
        <f>IF(O76="Win",P76,IF(O76="Loss",-L76,""))</f>
        <v/>
      </c>
      <c r="R76" s="29">
        <f>IF(Q76="","",SUM($Q$2:Q76))</f>
        <v/>
      </c>
      <c r="S76" s="25" t="n"/>
    </row>
    <row r="77">
      <c r="A77" s="24" t="n"/>
      <c r="B77" s="25" t="n"/>
      <c r="C77" s="27" t="n"/>
      <c r="D77" s="26" t="n"/>
      <c r="E77" s="27" t="n"/>
      <c r="F77" s="25" t="n"/>
      <c r="G77" s="27" t="n"/>
      <c r="H77" s="26" t="n"/>
      <c r="I77" s="27" t="n"/>
      <c r="J77" s="27" t="n"/>
      <c r="K77" s="27" t="n"/>
      <c r="L77" s="28" t="n"/>
      <c r="M77" s="27" t="n"/>
      <c r="N77" s="27" t="n"/>
      <c r="O77" s="27">
        <f>IF(AND(M77="",N77=""),"",IF(OR(M77="No Hit",N77="No Hit"),"Loss",IF(AND(M77="Hit",N77="Hit"),"Win","Pending")))</f>
        <v/>
      </c>
      <c r="P77" s="28">
        <f>IF(OR(K77="",L77=""),"",IF(K77&gt;0,L77*(K77/100),L77*(100/(-K77))))</f>
        <v/>
      </c>
      <c r="Q77" s="29">
        <f>IF(O77="Win",P77,IF(O77="Loss",-L77,""))</f>
        <v/>
      </c>
      <c r="R77" s="29">
        <f>IF(Q77="","",SUM($Q$2:Q77))</f>
        <v/>
      </c>
      <c r="S77" s="25" t="n"/>
    </row>
    <row r="78">
      <c r="A78" s="24" t="n"/>
      <c r="B78" s="25" t="n"/>
      <c r="C78" s="27" t="n"/>
      <c r="D78" s="26" t="n"/>
      <c r="E78" s="27" t="n"/>
      <c r="F78" s="25" t="n"/>
      <c r="G78" s="27" t="n"/>
      <c r="H78" s="26" t="n"/>
      <c r="I78" s="27" t="n"/>
      <c r="J78" s="27" t="n"/>
      <c r="K78" s="27" t="n"/>
      <c r="L78" s="28" t="n"/>
      <c r="M78" s="27" t="n"/>
      <c r="N78" s="27" t="n"/>
      <c r="O78" s="27">
        <f>IF(AND(M78="",N78=""),"",IF(OR(M78="No Hit",N78="No Hit"),"Loss",IF(AND(M78="Hit",N78="Hit"),"Win","Pending")))</f>
        <v/>
      </c>
      <c r="P78" s="28">
        <f>IF(OR(K78="",L78=""),"",IF(K78&gt;0,L78*(K78/100),L78*(100/(-K78))))</f>
        <v/>
      </c>
      <c r="Q78" s="29">
        <f>IF(O78="Win",P78,IF(O78="Loss",-L78,""))</f>
        <v/>
      </c>
      <c r="R78" s="29">
        <f>IF(Q78="","",SUM($Q$2:Q78))</f>
        <v/>
      </c>
      <c r="S78" s="25" t="n"/>
    </row>
    <row r="79">
      <c r="A79" s="24" t="n"/>
      <c r="B79" s="25" t="n"/>
      <c r="C79" s="27" t="n"/>
      <c r="D79" s="26" t="n"/>
      <c r="E79" s="27" t="n"/>
      <c r="F79" s="25" t="n"/>
      <c r="G79" s="27" t="n"/>
      <c r="H79" s="26" t="n"/>
      <c r="I79" s="27" t="n"/>
      <c r="J79" s="27" t="n"/>
      <c r="K79" s="27" t="n"/>
      <c r="L79" s="28" t="n"/>
      <c r="M79" s="27" t="n"/>
      <c r="N79" s="27" t="n"/>
      <c r="O79" s="27">
        <f>IF(AND(M79="",N79=""),"",IF(OR(M79="No Hit",N79="No Hit"),"Loss",IF(AND(M79="Hit",N79="Hit"),"Win","Pending")))</f>
        <v/>
      </c>
      <c r="P79" s="28">
        <f>IF(OR(K79="",L79=""),"",IF(K79&gt;0,L79*(K79/100),L79*(100/(-K79))))</f>
        <v/>
      </c>
      <c r="Q79" s="29">
        <f>IF(O79="Win",P79,IF(O79="Loss",-L79,""))</f>
        <v/>
      </c>
      <c r="R79" s="29">
        <f>IF(Q79="","",SUM($Q$2:Q79))</f>
        <v/>
      </c>
      <c r="S79" s="25" t="n"/>
    </row>
    <row r="80">
      <c r="A80" s="24" t="n"/>
      <c r="B80" s="25" t="n"/>
      <c r="C80" s="27" t="n"/>
      <c r="D80" s="26" t="n"/>
      <c r="E80" s="27" t="n"/>
      <c r="F80" s="25" t="n"/>
      <c r="G80" s="27" t="n"/>
      <c r="H80" s="26" t="n"/>
      <c r="I80" s="27" t="n"/>
      <c r="J80" s="27" t="n"/>
      <c r="K80" s="27" t="n"/>
      <c r="L80" s="28" t="n"/>
      <c r="M80" s="27" t="n"/>
      <c r="N80" s="27" t="n"/>
      <c r="O80" s="27">
        <f>IF(AND(M80="",N80=""),"",IF(OR(M80="No Hit",N80="No Hit"),"Loss",IF(AND(M80="Hit",N80="Hit"),"Win","Pending")))</f>
        <v/>
      </c>
      <c r="P80" s="28">
        <f>IF(OR(K80="",L80=""),"",IF(K80&gt;0,L80*(K80/100),L80*(100/(-K80))))</f>
        <v/>
      </c>
      <c r="Q80" s="29">
        <f>IF(O80="Win",P80,IF(O80="Loss",-L80,""))</f>
        <v/>
      </c>
      <c r="R80" s="29">
        <f>IF(Q80="","",SUM($Q$2:Q80))</f>
        <v/>
      </c>
      <c r="S80" s="25" t="n"/>
    </row>
    <row r="81">
      <c r="A81" s="24" t="n"/>
      <c r="B81" s="25" t="n"/>
      <c r="C81" s="27" t="n"/>
      <c r="D81" s="26" t="n"/>
      <c r="E81" s="27" t="n"/>
      <c r="F81" s="25" t="n"/>
      <c r="G81" s="27" t="n"/>
      <c r="H81" s="26" t="n"/>
      <c r="I81" s="27" t="n"/>
      <c r="J81" s="27" t="n"/>
      <c r="K81" s="27" t="n"/>
      <c r="L81" s="28" t="n"/>
      <c r="M81" s="27" t="n"/>
      <c r="N81" s="27" t="n"/>
      <c r="O81" s="27">
        <f>IF(AND(M81="",N81=""),"",IF(OR(M81="No Hit",N81="No Hit"),"Loss",IF(AND(M81="Hit",N81="Hit"),"Win","Pending")))</f>
        <v/>
      </c>
      <c r="P81" s="28">
        <f>IF(OR(K81="",L81=""),"",IF(K81&gt;0,L81*(K81/100),L81*(100/(-K81))))</f>
        <v/>
      </c>
      <c r="Q81" s="29">
        <f>IF(O81="Win",P81,IF(O81="Loss",-L81,""))</f>
        <v/>
      </c>
      <c r="R81" s="29">
        <f>IF(Q81="","",SUM($Q$2:Q81))</f>
        <v/>
      </c>
      <c r="S81" s="25" t="n"/>
    </row>
    <row r="82">
      <c r="A82" s="24" t="n"/>
      <c r="B82" s="25" t="n"/>
      <c r="C82" s="27" t="n"/>
      <c r="D82" s="26" t="n"/>
      <c r="E82" s="27" t="n"/>
      <c r="F82" s="25" t="n"/>
      <c r="G82" s="27" t="n"/>
      <c r="H82" s="26" t="n"/>
      <c r="I82" s="27" t="n"/>
      <c r="J82" s="27" t="n"/>
      <c r="K82" s="27" t="n"/>
      <c r="L82" s="28" t="n"/>
      <c r="M82" s="27" t="n"/>
      <c r="N82" s="27" t="n"/>
      <c r="O82" s="27">
        <f>IF(AND(M82="",N82=""),"",IF(OR(M82="No Hit",N82="No Hit"),"Loss",IF(AND(M82="Hit",N82="Hit"),"Win","Pending")))</f>
        <v/>
      </c>
      <c r="P82" s="28">
        <f>IF(OR(K82="",L82=""),"",IF(K82&gt;0,L82*(K82/100),L82*(100/(-K82))))</f>
        <v/>
      </c>
      <c r="Q82" s="29">
        <f>IF(O82="Win",P82,IF(O82="Loss",-L82,""))</f>
        <v/>
      </c>
      <c r="R82" s="29">
        <f>IF(Q82="","",SUM($Q$2:Q82))</f>
        <v/>
      </c>
      <c r="S82" s="25" t="n"/>
    </row>
    <row r="83">
      <c r="A83" s="24" t="n"/>
      <c r="B83" s="25" t="n"/>
      <c r="C83" s="27" t="n"/>
      <c r="D83" s="26" t="n"/>
      <c r="E83" s="27" t="n"/>
      <c r="F83" s="25" t="n"/>
      <c r="G83" s="27" t="n"/>
      <c r="H83" s="26" t="n"/>
      <c r="I83" s="27" t="n"/>
      <c r="J83" s="27" t="n"/>
      <c r="K83" s="27" t="n"/>
      <c r="L83" s="28" t="n"/>
      <c r="M83" s="27" t="n"/>
      <c r="N83" s="27" t="n"/>
      <c r="O83" s="27">
        <f>IF(AND(M83="",N83=""),"",IF(OR(M83="No Hit",N83="No Hit"),"Loss",IF(AND(M83="Hit",N83="Hit"),"Win","Pending")))</f>
        <v/>
      </c>
      <c r="P83" s="28">
        <f>IF(OR(K83="",L83=""),"",IF(K83&gt;0,L83*(K83/100),L83*(100/(-K83))))</f>
        <v/>
      </c>
      <c r="Q83" s="29">
        <f>IF(O83="Win",P83,IF(O83="Loss",-L83,""))</f>
        <v/>
      </c>
      <c r="R83" s="29">
        <f>IF(Q83="","",SUM($Q$2:Q83))</f>
        <v/>
      </c>
      <c r="S83" s="25" t="n"/>
    </row>
    <row r="84">
      <c r="A84" s="24" t="n"/>
      <c r="B84" s="25" t="n"/>
      <c r="C84" s="27" t="n"/>
      <c r="D84" s="26" t="n"/>
      <c r="E84" s="27" t="n"/>
      <c r="F84" s="25" t="n"/>
      <c r="G84" s="27" t="n"/>
      <c r="H84" s="26" t="n"/>
      <c r="I84" s="27" t="n"/>
      <c r="J84" s="27" t="n"/>
      <c r="K84" s="27" t="n"/>
      <c r="L84" s="28" t="n"/>
      <c r="M84" s="27" t="n"/>
      <c r="N84" s="27" t="n"/>
      <c r="O84" s="27">
        <f>IF(AND(M84="",N84=""),"",IF(OR(M84="No Hit",N84="No Hit"),"Loss",IF(AND(M84="Hit",N84="Hit"),"Win","Pending")))</f>
        <v/>
      </c>
      <c r="P84" s="28">
        <f>IF(OR(K84="",L84=""),"",IF(K84&gt;0,L84*(K84/100),L84*(100/(-K84))))</f>
        <v/>
      </c>
      <c r="Q84" s="29">
        <f>IF(O84="Win",P84,IF(O84="Loss",-L84,""))</f>
        <v/>
      </c>
      <c r="R84" s="29">
        <f>IF(Q84="","",SUM($Q$2:Q84))</f>
        <v/>
      </c>
      <c r="S84" s="25" t="n"/>
    </row>
    <row r="85">
      <c r="A85" s="24" t="n"/>
      <c r="B85" s="25" t="n"/>
      <c r="C85" s="27" t="n"/>
      <c r="D85" s="26" t="n"/>
      <c r="E85" s="27" t="n"/>
      <c r="F85" s="25" t="n"/>
      <c r="G85" s="27" t="n"/>
      <c r="H85" s="26" t="n"/>
      <c r="I85" s="27" t="n"/>
      <c r="J85" s="27" t="n"/>
      <c r="K85" s="27" t="n"/>
      <c r="L85" s="28" t="n"/>
      <c r="M85" s="27" t="n"/>
      <c r="N85" s="27" t="n"/>
      <c r="O85" s="27">
        <f>IF(AND(M85="",N85=""),"",IF(OR(M85="No Hit",N85="No Hit"),"Loss",IF(AND(M85="Hit",N85="Hit"),"Win","Pending")))</f>
        <v/>
      </c>
      <c r="P85" s="28">
        <f>IF(OR(K85="",L85=""),"",IF(K85&gt;0,L85*(K85/100),L85*(100/(-K85))))</f>
        <v/>
      </c>
      <c r="Q85" s="29">
        <f>IF(O85="Win",P85,IF(O85="Loss",-L85,""))</f>
        <v/>
      </c>
      <c r="R85" s="29">
        <f>IF(Q85="","",SUM($Q$2:Q85))</f>
        <v/>
      </c>
      <c r="S85" s="25" t="n"/>
    </row>
    <row r="86">
      <c r="A86" s="24" t="n"/>
      <c r="B86" s="25" t="n"/>
      <c r="C86" s="27" t="n"/>
      <c r="D86" s="26" t="n"/>
      <c r="E86" s="27" t="n"/>
      <c r="F86" s="25" t="n"/>
      <c r="G86" s="27" t="n"/>
      <c r="H86" s="26" t="n"/>
      <c r="I86" s="27" t="n"/>
      <c r="J86" s="27" t="n"/>
      <c r="K86" s="27" t="n"/>
      <c r="L86" s="28" t="n"/>
      <c r="M86" s="27" t="n"/>
      <c r="N86" s="27" t="n"/>
      <c r="O86" s="27">
        <f>IF(AND(M86="",N86=""),"",IF(OR(M86="No Hit",N86="No Hit"),"Loss",IF(AND(M86="Hit",N86="Hit"),"Win","Pending")))</f>
        <v/>
      </c>
      <c r="P86" s="28">
        <f>IF(OR(K86="",L86=""),"",IF(K86&gt;0,L86*(K86/100),L86*(100/(-K86))))</f>
        <v/>
      </c>
      <c r="Q86" s="29">
        <f>IF(O86="Win",P86,IF(O86="Loss",-L86,""))</f>
        <v/>
      </c>
      <c r="R86" s="29">
        <f>IF(Q86="","",SUM($Q$2:Q86))</f>
        <v/>
      </c>
      <c r="S86" s="25" t="n"/>
    </row>
    <row r="87">
      <c r="A87" s="24" t="n"/>
      <c r="B87" s="25" t="n"/>
      <c r="C87" s="27" t="n"/>
      <c r="D87" s="26" t="n"/>
      <c r="E87" s="27" t="n"/>
      <c r="F87" s="25" t="n"/>
      <c r="G87" s="27" t="n"/>
      <c r="H87" s="26" t="n"/>
      <c r="I87" s="27" t="n"/>
      <c r="J87" s="27" t="n"/>
      <c r="K87" s="27" t="n"/>
      <c r="L87" s="28" t="n"/>
      <c r="M87" s="27" t="n"/>
      <c r="N87" s="27" t="n"/>
      <c r="O87" s="27">
        <f>IF(AND(M87="",N87=""),"",IF(OR(M87="No Hit",N87="No Hit"),"Loss",IF(AND(M87="Hit",N87="Hit"),"Win","Pending")))</f>
        <v/>
      </c>
      <c r="P87" s="28">
        <f>IF(OR(K87="",L87=""),"",IF(K87&gt;0,L87*(K87/100),L87*(100/(-K87))))</f>
        <v/>
      </c>
      <c r="Q87" s="29">
        <f>IF(O87="Win",P87,IF(O87="Loss",-L87,""))</f>
        <v/>
      </c>
      <c r="R87" s="29">
        <f>IF(Q87="","",SUM($Q$2:Q87))</f>
        <v/>
      </c>
      <c r="S87" s="25" t="n"/>
    </row>
    <row r="88">
      <c r="A88" s="24" t="n"/>
      <c r="B88" s="25" t="n"/>
      <c r="C88" s="27" t="n"/>
      <c r="D88" s="26" t="n"/>
      <c r="E88" s="27" t="n"/>
      <c r="F88" s="25" t="n"/>
      <c r="G88" s="27" t="n"/>
      <c r="H88" s="26" t="n"/>
      <c r="I88" s="27" t="n"/>
      <c r="J88" s="27" t="n"/>
      <c r="K88" s="27" t="n"/>
      <c r="L88" s="28" t="n"/>
      <c r="M88" s="27" t="n"/>
      <c r="N88" s="27" t="n"/>
      <c r="O88" s="27">
        <f>IF(AND(M88="",N88=""),"",IF(OR(M88="No Hit",N88="No Hit"),"Loss",IF(AND(M88="Hit",N88="Hit"),"Win","Pending")))</f>
        <v/>
      </c>
      <c r="P88" s="28">
        <f>IF(OR(K88="",L88=""),"",IF(K88&gt;0,L88*(K88/100),L88*(100/(-K88))))</f>
        <v/>
      </c>
      <c r="Q88" s="29">
        <f>IF(O88="Win",P88,IF(O88="Loss",-L88,""))</f>
        <v/>
      </c>
      <c r="R88" s="29">
        <f>IF(Q88="","",SUM($Q$2:Q88))</f>
        <v/>
      </c>
      <c r="S88" s="25" t="n"/>
    </row>
    <row r="89">
      <c r="A89" s="24" t="n"/>
      <c r="B89" s="25" t="n"/>
      <c r="C89" s="27" t="n"/>
      <c r="D89" s="26" t="n"/>
      <c r="E89" s="27" t="n"/>
      <c r="F89" s="25" t="n"/>
      <c r="G89" s="27" t="n"/>
      <c r="H89" s="26" t="n"/>
      <c r="I89" s="27" t="n"/>
      <c r="J89" s="27" t="n"/>
      <c r="K89" s="27" t="n"/>
      <c r="L89" s="28" t="n"/>
      <c r="M89" s="27" t="n"/>
      <c r="N89" s="27" t="n"/>
      <c r="O89" s="27">
        <f>IF(AND(M89="",N89=""),"",IF(OR(M89="No Hit",N89="No Hit"),"Loss",IF(AND(M89="Hit",N89="Hit"),"Win","Pending")))</f>
        <v/>
      </c>
      <c r="P89" s="28">
        <f>IF(OR(K89="",L89=""),"",IF(K89&gt;0,L89*(K89/100),L89*(100/(-K89))))</f>
        <v/>
      </c>
      <c r="Q89" s="29">
        <f>IF(O89="Win",P89,IF(O89="Loss",-L89,""))</f>
        <v/>
      </c>
      <c r="R89" s="29">
        <f>IF(Q89="","",SUM($Q$2:Q89))</f>
        <v/>
      </c>
      <c r="S89" s="25" t="n"/>
    </row>
    <row r="90">
      <c r="A90" s="24" t="n"/>
      <c r="B90" s="25" t="n"/>
      <c r="C90" s="27" t="n"/>
      <c r="D90" s="26" t="n"/>
      <c r="E90" s="27" t="n"/>
      <c r="F90" s="25" t="n"/>
      <c r="G90" s="27" t="n"/>
      <c r="H90" s="26" t="n"/>
      <c r="I90" s="27" t="n"/>
      <c r="J90" s="27" t="n"/>
      <c r="K90" s="27" t="n"/>
      <c r="L90" s="28" t="n"/>
      <c r="M90" s="27" t="n"/>
      <c r="N90" s="27" t="n"/>
      <c r="O90" s="27">
        <f>IF(AND(M90="",N90=""),"",IF(OR(M90="No Hit",N90="No Hit"),"Loss",IF(AND(M90="Hit",N90="Hit"),"Win","Pending")))</f>
        <v/>
      </c>
      <c r="P90" s="28">
        <f>IF(OR(K90="",L90=""),"",IF(K90&gt;0,L90*(K90/100),L90*(100/(-K90))))</f>
        <v/>
      </c>
      <c r="Q90" s="29">
        <f>IF(O90="Win",P90,IF(O90="Loss",-L90,""))</f>
        <v/>
      </c>
      <c r="R90" s="29">
        <f>IF(Q90="","",SUM($Q$2:Q90))</f>
        <v/>
      </c>
      <c r="S90" s="25" t="n"/>
    </row>
    <row r="91">
      <c r="A91" s="24" t="n"/>
      <c r="B91" s="25" t="n"/>
      <c r="C91" s="27" t="n"/>
      <c r="D91" s="26" t="n"/>
      <c r="E91" s="27" t="n"/>
      <c r="F91" s="25" t="n"/>
      <c r="G91" s="27" t="n"/>
      <c r="H91" s="26" t="n"/>
      <c r="I91" s="27" t="n"/>
      <c r="J91" s="27" t="n"/>
      <c r="K91" s="27" t="n"/>
      <c r="L91" s="28" t="n"/>
      <c r="M91" s="27" t="n"/>
      <c r="N91" s="27" t="n"/>
      <c r="O91" s="27">
        <f>IF(AND(M91="",N91=""),"",IF(OR(M91="No Hit",N91="No Hit"),"Loss",IF(AND(M91="Hit",N91="Hit"),"Win","Pending")))</f>
        <v/>
      </c>
      <c r="P91" s="28">
        <f>IF(OR(K91="",L91=""),"",IF(K91&gt;0,L91*(K91/100),L91*(100/(-K91))))</f>
        <v/>
      </c>
      <c r="Q91" s="29">
        <f>IF(O91="Win",P91,IF(O91="Loss",-L91,""))</f>
        <v/>
      </c>
      <c r="R91" s="29">
        <f>IF(Q91="","",SUM($Q$2:Q91))</f>
        <v/>
      </c>
      <c r="S91" s="25" t="n"/>
    </row>
    <row r="92">
      <c r="A92" s="24" t="n"/>
      <c r="B92" s="25" t="n"/>
      <c r="C92" s="27" t="n"/>
      <c r="D92" s="26" t="n"/>
      <c r="E92" s="27" t="n"/>
      <c r="F92" s="25" t="n"/>
      <c r="G92" s="27" t="n"/>
      <c r="H92" s="26" t="n"/>
      <c r="I92" s="27" t="n"/>
      <c r="J92" s="27" t="n"/>
      <c r="K92" s="27" t="n"/>
      <c r="L92" s="28" t="n"/>
      <c r="M92" s="27" t="n"/>
      <c r="N92" s="27" t="n"/>
      <c r="O92" s="27">
        <f>IF(AND(M92="",N92=""),"",IF(OR(M92="No Hit",N92="No Hit"),"Loss",IF(AND(M92="Hit",N92="Hit"),"Win","Pending")))</f>
        <v/>
      </c>
      <c r="P92" s="28">
        <f>IF(OR(K92="",L92=""),"",IF(K92&gt;0,L92*(K92/100),L92*(100/(-K92))))</f>
        <v/>
      </c>
      <c r="Q92" s="29">
        <f>IF(O92="Win",P92,IF(O92="Loss",-L92,""))</f>
        <v/>
      </c>
      <c r="R92" s="29">
        <f>IF(Q92="","",SUM($Q$2:Q92))</f>
        <v/>
      </c>
      <c r="S92" s="25" t="n"/>
    </row>
    <row r="93">
      <c r="A93" s="24" t="n"/>
      <c r="B93" s="25" t="n"/>
      <c r="C93" s="27" t="n"/>
      <c r="D93" s="26" t="n"/>
      <c r="E93" s="27" t="n"/>
      <c r="F93" s="25" t="n"/>
      <c r="G93" s="27" t="n"/>
      <c r="H93" s="26" t="n"/>
      <c r="I93" s="27" t="n"/>
      <c r="J93" s="27" t="n"/>
      <c r="K93" s="27" t="n"/>
      <c r="L93" s="28" t="n"/>
      <c r="M93" s="27" t="n"/>
      <c r="N93" s="27" t="n"/>
      <c r="O93" s="27">
        <f>IF(AND(M93="",N93=""),"",IF(OR(M93="No Hit",N93="No Hit"),"Loss",IF(AND(M93="Hit",N93="Hit"),"Win","Pending")))</f>
        <v/>
      </c>
      <c r="P93" s="28">
        <f>IF(OR(K93="",L93=""),"",IF(K93&gt;0,L93*(K93/100),L93*(100/(-K93))))</f>
        <v/>
      </c>
      <c r="Q93" s="29">
        <f>IF(O93="Win",P93,IF(O93="Loss",-L93,""))</f>
        <v/>
      </c>
      <c r="R93" s="29">
        <f>IF(Q93="","",SUM($Q$2:Q93))</f>
        <v/>
      </c>
      <c r="S93" s="25" t="n"/>
    </row>
    <row r="94">
      <c r="A94" s="24" t="n"/>
      <c r="B94" s="25" t="n"/>
      <c r="C94" s="27" t="n"/>
      <c r="D94" s="26" t="n"/>
      <c r="E94" s="27" t="n"/>
      <c r="F94" s="25" t="n"/>
      <c r="G94" s="27" t="n"/>
      <c r="H94" s="26" t="n"/>
      <c r="I94" s="27" t="n"/>
      <c r="J94" s="27" t="n"/>
      <c r="K94" s="27" t="n"/>
      <c r="L94" s="28" t="n"/>
      <c r="M94" s="27" t="n"/>
      <c r="N94" s="27" t="n"/>
      <c r="O94" s="27">
        <f>IF(AND(M94="",N94=""),"",IF(OR(M94="No Hit",N94="No Hit"),"Loss",IF(AND(M94="Hit",N94="Hit"),"Win","Pending")))</f>
        <v/>
      </c>
      <c r="P94" s="28">
        <f>IF(OR(K94="",L94=""),"",IF(K94&gt;0,L94*(K94/100),L94*(100/(-K94))))</f>
        <v/>
      </c>
      <c r="Q94" s="29">
        <f>IF(O94="Win",P94,IF(O94="Loss",-L94,""))</f>
        <v/>
      </c>
      <c r="R94" s="29">
        <f>IF(Q94="","",SUM($Q$2:Q94))</f>
        <v/>
      </c>
      <c r="S94" s="25" t="n"/>
    </row>
    <row r="95">
      <c r="A95" s="24" t="n"/>
      <c r="B95" s="25" t="n"/>
      <c r="C95" s="27" t="n"/>
      <c r="D95" s="26" t="n"/>
      <c r="E95" s="27" t="n"/>
      <c r="F95" s="25" t="n"/>
      <c r="G95" s="27" t="n"/>
      <c r="H95" s="26" t="n"/>
      <c r="I95" s="27" t="n"/>
      <c r="J95" s="27" t="n"/>
      <c r="K95" s="27" t="n"/>
      <c r="L95" s="28" t="n"/>
      <c r="M95" s="27" t="n"/>
      <c r="N95" s="27" t="n"/>
      <c r="O95" s="27">
        <f>IF(AND(M95="",N95=""),"",IF(OR(M95="No Hit",N95="No Hit"),"Loss",IF(AND(M95="Hit",N95="Hit"),"Win","Pending")))</f>
        <v/>
      </c>
      <c r="P95" s="28">
        <f>IF(OR(K95="",L95=""),"",IF(K95&gt;0,L95*(K95/100),L95*(100/(-K95))))</f>
        <v/>
      </c>
      <c r="Q95" s="29">
        <f>IF(O95="Win",P95,IF(O95="Loss",-L95,""))</f>
        <v/>
      </c>
      <c r="R95" s="29">
        <f>IF(Q95="","",SUM($Q$2:Q95))</f>
        <v/>
      </c>
      <c r="S95" s="25" t="n"/>
    </row>
    <row r="96">
      <c r="A96" s="24" t="n"/>
      <c r="B96" s="25" t="n"/>
      <c r="C96" s="27" t="n"/>
      <c r="D96" s="26" t="n"/>
      <c r="E96" s="27" t="n"/>
      <c r="F96" s="25" t="n"/>
      <c r="G96" s="27" t="n"/>
      <c r="H96" s="26" t="n"/>
      <c r="I96" s="27" t="n"/>
      <c r="J96" s="27" t="n"/>
      <c r="K96" s="27" t="n"/>
      <c r="L96" s="28" t="n"/>
      <c r="M96" s="27" t="n"/>
      <c r="N96" s="27" t="n"/>
      <c r="O96" s="27">
        <f>IF(AND(M96="",N96=""),"",IF(OR(M96="No Hit",N96="No Hit"),"Loss",IF(AND(M96="Hit",N96="Hit"),"Win","Pending")))</f>
        <v/>
      </c>
      <c r="P96" s="28">
        <f>IF(OR(K96="",L96=""),"",IF(K96&gt;0,L96*(K96/100),L96*(100/(-K96))))</f>
        <v/>
      </c>
      <c r="Q96" s="29">
        <f>IF(O96="Win",P96,IF(O96="Loss",-L96,""))</f>
        <v/>
      </c>
      <c r="R96" s="29">
        <f>IF(Q96="","",SUM($Q$2:Q96))</f>
        <v/>
      </c>
      <c r="S96" s="25" t="n"/>
    </row>
    <row r="97">
      <c r="A97" s="24" t="n"/>
      <c r="B97" s="25" t="n"/>
      <c r="C97" s="27" t="n"/>
      <c r="D97" s="26" t="n"/>
      <c r="E97" s="27" t="n"/>
      <c r="F97" s="25" t="n"/>
      <c r="G97" s="27" t="n"/>
      <c r="H97" s="26" t="n"/>
      <c r="I97" s="27" t="n"/>
      <c r="J97" s="27" t="n"/>
      <c r="K97" s="27" t="n"/>
      <c r="L97" s="28" t="n"/>
      <c r="M97" s="27" t="n"/>
      <c r="N97" s="27" t="n"/>
      <c r="O97" s="27">
        <f>IF(AND(M97="",N97=""),"",IF(OR(M97="No Hit",N97="No Hit"),"Loss",IF(AND(M97="Hit",N97="Hit"),"Win","Pending")))</f>
        <v/>
      </c>
      <c r="P97" s="28">
        <f>IF(OR(K97="",L97=""),"",IF(K97&gt;0,L97*(K97/100),L97*(100/(-K97))))</f>
        <v/>
      </c>
      <c r="Q97" s="29">
        <f>IF(O97="Win",P97,IF(O97="Loss",-L97,""))</f>
        <v/>
      </c>
      <c r="R97" s="29">
        <f>IF(Q97="","",SUM($Q$2:Q97))</f>
        <v/>
      </c>
      <c r="S97" s="25" t="n"/>
    </row>
    <row r="98">
      <c r="A98" s="24" t="n"/>
      <c r="B98" s="25" t="n"/>
      <c r="C98" s="27" t="n"/>
      <c r="D98" s="26" t="n"/>
      <c r="E98" s="27" t="n"/>
      <c r="F98" s="25" t="n"/>
      <c r="G98" s="27" t="n"/>
      <c r="H98" s="26" t="n"/>
      <c r="I98" s="27" t="n"/>
      <c r="J98" s="27" t="n"/>
      <c r="K98" s="27" t="n"/>
      <c r="L98" s="28" t="n"/>
      <c r="M98" s="27" t="n"/>
      <c r="N98" s="27" t="n"/>
      <c r="O98" s="27">
        <f>IF(AND(M98="",N98=""),"",IF(OR(M98="No Hit",N98="No Hit"),"Loss",IF(AND(M98="Hit",N98="Hit"),"Win","Pending")))</f>
        <v/>
      </c>
      <c r="P98" s="28">
        <f>IF(OR(K98="",L98=""),"",IF(K98&gt;0,L98*(K98/100),L98*(100/(-K98))))</f>
        <v/>
      </c>
      <c r="Q98" s="29">
        <f>IF(O98="Win",P98,IF(O98="Loss",-L98,""))</f>
        <v/>
      </c>
      <c r="R98" s="29">
        <f>IF(Q98="","",SUM($Q$2:Q98))</f>
        <v/>
      </c>
      <c r="S98" s="25" t="n"/>
    </row>
    <row r="99">
      <c r="A99" s="24" t="n"/>
      <c r="B99" s="25" t="n"/>
      <c r="C99" s="27" t="n"/>
      <c r="D99" s="26" t="n"/>
      <c r="E99" s="27" t="n"/>
      <c r="F99" s="25" t="n"/>
      <c r="G99" s="27" t="n"/>
      <c r="H99" s="26" t="n"/>
      <c r="I99" s="27" t="n"/>
      <c r="J99" s="27" t="n"/>
      <c r="K99" s="27" t="n"/>
      <c r="L99" s="28" t="n"/>
      <c r="M99" s="27" t="n"/>
      <c r="N99" s="27" t="n"/>
      <c r="O99" s="27">
        <f>IF(AND(M99="",N99=""),"",IF(OR(M99="No Hit",N99="No Hit"),"Loss",IF(AND(M99="Hit",N99="Hit"),"Win","Pending")))</f>
        <v/>
      </c>
      <c r="P99" s="28">
        <f>IF(OR(K99="",L99=""),"",IF(K99&gt;0,L99*(K99/100),L99*(100/(-K99))))</f>
        <v/>
      </c>
      <c r="Q99" s="29">
        <f>IF(O99="Win",P99,IF(O99="Loss",-L99,""))</f>
        <v/>
      </c>
      <c r="R99" s="29">
        <f>IF(Q99="","",SUM($Q$2:Q99))</f>
        <v/>
      </c>
      <c r="S99" s="25" t="n"/>
    </row>
    <row r="100">
      <c r="A100" s="24" t="n"/>
      <c r="B100" s="25" t="n"/>
      <c r="C100" s="27" t="n"/>
      <c r="D100" s="26" t="n"/>
      <c r="E100" s="27" t="n"/>
      <c r="F100" s="25" t="n"/>
      <c r="G100" s="27" t="n"/>
      <c r="H100" s="26" t="n"/>
      <c r="I100" s="27" t="n"/>
      <c r="J100" s="27" t="n"/>
      <c r="K100" s="27" t="n"/>
      <c r="L100" s="28" t="n"/>
      <c r="M100" s="27" t="n"/>
      <c r="N100" s="27" t="n"/>
      <c r="O100" s="27">
        <f>IF(AND(M100="",N100=""),"",IF(OR(M100="No Hit",N100="No Hit"),"Loss",IF(AND(M100="Hit",N100="Hit"),"Win","Pending")))</f>
        <v/>
      </c>
      <c r="P100" s="28">
        <f>IF(OR(K100="",L100=""),"",IF(K100&gt;0,L100*(K100/100),L100*(100/(-K100))))</f>
        <v/>
      </c>
      <c r="Q100" s="29">
        <f>IF(O100="Win",P100,IF(O100="Loss",-L100,""))</f>
        <v/>
      </c>
      <c r="R100" s="29">
        <f>IF(Q100="","",SUM($Q$2:Q100))</f>
        <v/>
      </c>
      <c r="S100" s="25" t="n"/>
    </row>
    <row r="101">
      <c r="A101" s="24" t="n"/>
      <c r="B101" s="25" t="n"/>
      <c r="C101" s="27" t="n"/>
      <c r="D101" s="26" t="n"/>
      <c r="E101" s="27" t="n"/>
      <c r="F101" s="25" t="n"/>
      <c r="G101" s="27" t="n"/>
      <c r="H101" s="26" t="n"/>
      <c r="I101" s="27" t="n"/>
      <c r="J101" s="27" t="n"/>
      <c r="K101" s="27" t="n"/>
      <c r="L101" s="28" t="n"/>
      <c r="M101" s="27" t="n"/>
      <c r="N101" s="27" t="n"/>
      <c r="O101" s="27">
        <f>IF(AND(M101="",N101=""),"",IF(OR(M101="No Hit",N101="No Hit"),"Loss",IF(AND(M101="Hit",N101="Hit"),"Win","Pending")))</f>
        <v/>
      </c>
      <c r="P101" s="28">
        <f>IF(OR(K101="",L101=""),"",IF(K101&gt;0,L101*(K101/100),L101*(100/(-K101))))</f>
        <v/>
      </c>
      <c r="Q101" s="29">
        <f>IF(O101="Win",P101,IF(O101="Loss",-L101,""))</f>
        <v/>
      </c>
      <c r="R101" s="29">
        <f>IF(Q101="","",SUM($Q$2:Q101))</f>
        <v/>
      </c>
      <c r="S101" s="25" t="n"/>
    </row>
    <row r="102">
      <c r="A102" s="24" t="n"/>
      <c r="B102" s="25" t="n"/>
      <c r="C102" s="27" t="n"/>
      <c r="D102" s="26" t="n"/>
      <c r="E102" s="27" t="n"/>
      <c r="F102" s="25" t="n"/>
      <c r="G102" s="27" t="n"/>
      <c r="H102" s="26" t="n"/>
      <c r="I102" s="27" t="n"/>
      <c r="J102" s="27" t="n"/>
      <c r="K102" s="27" t="n"/>
      <c r="L102" s="28" t="n"/>
      <c r="M102" s="27" t="n"/>
      <c r="N102" s="27" t="n"/>
      <c r="O102" s="27">
        <f>IF(AND(M102="",N102=""),"",IF(OR(M102="No Hit",N102="No Hit"),"Loss",IF(AND(M102="Hit",N102="Hit"),"Win","Pending")))</f>
        <v/>
      </c>
      <c r="P102" s="28">
        <f>IF(OR(K102="",L102=""),"",IF(K102&gt;0,L102*(K102/100),L102*(100/(-K102))))</f>
        <v/>
      </c>
      <c r="Q102" s="29">
        <f>IF(O102="Win",P102,IF(O102="Loss",-L102,""))</f>
        <v/>
      </c>
      <c r="R102" s="29">
        <f>IF(Q102="","",SUM($Q$2:Q102))</f>
        <v/>
      </c>
      <c r="S102" s="25" t="n"/>
    </row>
    <row r="103">
      <c r="A103" s="24" t="n"/>
      <c r="B103" s="25" t="n"/>
      <c r="C103" s="27" t="n"/>
      <c r="D103" s="26" t="n"/>
      <c r="E103" s="27" t="n"/>
      <c r="F103" s="25" t="n"/>
      <c r="G103" s="27" t="n"/>
      <c r="H103" s="26" t="n"/>
      <c r="I103" s="27" t="n"/>
      <c r="J103" s="27" t="n"/>
      <c r="K103" s="27" t="n"/>
      <c r="L103" s="28" t="n"/>
      <c r="M103" s="27" t="n"/>
      <c r="N103" s="27" t="n"/>
      <c r="O103" s="27">
        <f>IF(AND(M103="",N103=""),"",IF(OR(M103="No Hit",N103="No Hit"),"Loss",IF(AND(M103="Hit",N103="Hit"),"Win","Pending")))</f>
        <v/>
      </c>
      <c r="P103" s="28">
        <f>IF(OR(K103="",L103=""),"",IF(K103&gt;0,L103*(K103/100),L103*(100/(-K103))))</f>
        <v/>
      </c>
      <c r="Q103" s="29">
        <f>IF(O103="Win",P103,IF(O103="Loss",-L103,""))</f>
        <v/>
      </c>
      <c r="R103" s="29">
        <f>IF(Q103="","",SUM($Q$2:Q103))</f>
        <v/>
      </c>
      <c r="S103" s="25" t="n"/>
    </row>
    <row r="104">
      <c r="A104" s="24" t="n"/>
      <c r="B104" s="25" t="n"/>
      <c r="C104" s="27" t="n"/>
      <c r="D104" s="26" t="n"/>
      <c r="E104" s="27" t="n"/>
      <c r="F104" s="25" t="n"/>
      <c r="G104" s="27" t="n"/>
      <c r="H104" s="26" t="n"/>
      <c r="I104" s="27" t="n"/>
      <c r="J104" s="27" t="n"/>
      <c r="K104" s="27" t="n"/>
      <c r="L104" s="28" t="n"/>
      <c r="M104" s="27" t="n"/>
      <c r="N104" s="27" t="n"/>
      <c r="O104" s="27">
        <f>IF(AND(M104="",N104=""),"",IF(OR(M104="No Hit",N104="No Hit"),"Loss",IF(AND(M104="Hit",N104="Hit"),"Win","Pending")))</f>
        <v/>
      </c>
      <c r="P104" s="28">
        <f>IF(OR(K104="",L104=""),"",IF(K104&gt;0,L104*(K104/100),L104*(100/(-K104))))</f>
        <v/>
      </c>
      <c r="Q104" s="29">
        <f>IF(O104="Win",P104,IF(O104="Loss",-L104,""))</f>
        <v/>
      </c>
      <c r="R104" s="29">
        <f>IF(Q104="","",SUM($Q$2:Q104))</f>
        <v/>
      </c>
      <c r="S104" s="25" t="n"/>
    </row>
    <row r="105">
      <c r="A105" s="24" t="n"/>
      <c r="B105" s="25" t="n"/>
      <c r="C105" s="27" t="n"/>
      <c r="D105" s="26" t="n"/>
      <c r="E105" s="27" t="n"/>
      <c r="F105" s="25" t="n"/>
      <c r="G105" s="27" t="n"/>
      <c r="H105" s="26" t="n"/>
      <c r="I105" s="27" t="n"/>
      <c r="J105" s="27" t="n"/>
      <c r="K105" s="27" t="n"/>
      <c r="L105" s="28" t="n"/>
      <c r="M105" s="27" t="n"/>
      <c r="N105" s="27" t="n"/>
      <c r="O105" s="27">
        <f>IF(AND(M105="",N105=""),"",IF(OR(M105="No Hit",N105="No Hit"),"Loss",IF(AND(M105="Hit",N105="Hit"),"Win","Pending")))</f>
        <v/>
      </c>
      <c r="P105" s="28">
        <f>IF(OR(K105="",L105=""),"",IF(K105&gt;0,L105*(K105/100),L105*(100/(-K105))))</f>
        <v/>
      </c>
      <c r="Q105" s="29">
        <f>IF(O105="Win",P105,IF(O105="Loss",-L105,""))</f>
        <v/>
      </c>
      <c r="R105" s="29">
        <f>IF(Q105="","",SUM($Q$2:Q105))</f>
        <v/>
      </c>
      <c r="S105" s="25" t="n"/>
    </row>
    <row r="106">
      <c r="A106" s="24" t="n"/>
      <c r="B106" s="25" t="n"/>
      <c r="C106" s="27" t="n"/>
      <c r="D106" s="26" t="n"/>
      <c r="E106" s="27" t="n"/>
      <c r="F106" s="25" t="n"/>
      <c r="G106" s="27" t="n"/>
      <c r="H106" s="26" t="n"/>
      <c r="I106" s="27" t="n"/>
      <c r="J106" s="27" t="n"/>
      <c r="K106" s="27" t="n"/>
      <c r="L106" s="28" t="n"/>
      <c r="M106" s="27" t="n"/>
      <c r="N106" s="27" t="n"/>
      <c r="O106" s="27">
        <f>IF(AND(M106="",N106=""),"",IF(OR(M106="No Hit",N106="No Hit"),"Loss",IF(AND(M106="Hit",N106="Hit"),"Win","Pending")))</f>
        <v/>
      </c>
      <c r="P106" s="28">
        <f>IF(OR(K106="",L106=""),"",IF(K106&gt;0,L106*(K106/100),L106*(100/(-K106))))</f>
        <v/>
      </c>
      <c r="Q106" s="29">
        <f>IF(O106="Win",P106,IF(O106="Loss",-L106,""))</f>
        <v/>
      </c>
      <c r="R106" s="29">
        <f>IF(Q106="","",SUM($Q$2:Q106))</f>
        <v/>
      </c>
      <c r="S106" s="25" t="n"/>
    </row>
    <row r="107">
      <c r="A107" s="24" t="n"/>
      <c r="B107" s="25" t="n"/>
      <c r="C107" s="27" t="n"/>
      <c r="D107" s="26" t="n"/>
      <c r="E107" s="27" t="n"/>
      <c r="F107" s="25" t="n"/>
      <c r="G107" s="27" t="n"/>
      <c r="H107" s="26" t="n"/>
      <c r="I107" s="27" t="n"/>
      <c r="J107" s="27" t="n"/>
      <c r="K107" s="27" t="n"/>
      <c r="L107" s="28" t="n"/>
      <c r="M107" s="27" t="n"/>
      <c r="N107" s="27" t="n"/>
      <c r="O107" s="27">
        <f>IF(AND(M107="",N107=""),"",IF(OR(M107="No Hit",N107="No Hit"),"Loss",IF(AND(M107="Hit",N107="Hit"),"Win","Pending")))</f>
        <v/>
      </c>
      <c r="P107" s="28">
        <f>IF(OR(K107="",L107=""),"",IF(K107&gt;0,L107*(K107/100),L107*(100/(-K107))))</f>
        <v/>
      </c>
      <c r="Q107" s="29">
        <f>IF(O107="Win",P107,IF(O107="Loss",-L107,""))</f>
        <v/>
      </c>
      <c r="R107" s="29">
        <f>IF(Q107="","",SUM($Q$2:Q107))</f>
        <v/>
      </c>
      <c r="S107" s="25" t="n"/>
    </row>
    <row r="108">
      <c r="A108" s="24" t="n"/>
      <c r="B108" s="25" t="n"/>
      <c r="C108" s="27" t="n"/>
      <c r="D108" s="26" t="n"/>
      <c r="E108" s="27" t="n"/>
      <c r="F108" s="25" t="n"/>
      <c r="G108" s="27" t="n"/>
      <c r="H108" s="26" t="n"/>
      <c r="I108" s="27" t="n"/>
      <c r="J108" s="27" t="n"/>
      <c r="K108" s="27" t="n"/>
      <c r="L108" s="28" t="n"/>
      <c r="M108" s="27" t="n"/>
      <c r="N108" s="27" t="n"/>
      <c r="O108" s="27">
        <f>IF(AND(M108="",N108=""),"",IF(OR(M108="No Hit",N108="No Hit"),"Loss",IF(AND(M108="Hit",N108="Hit"),"Win","Pending")))</f>
        <v/>
      </c>
      <c r="P108" s="28">
        <f>IF(OR(K108="",L108=""),"",IF(K108&gt;0,L108*(K108/100),L108*(100/(-K108))))</f>
        <v/>
      </c>
      <c r="Q108" s="29">
        <f>IF(O108="Win",P108,IF(O108="Loss",-L108,""))</f>
        <v/>
      </c>
      <c r="R108" s="29">
        <f>IF(Q108="","",SUM($Q$2:Q108))</f>
        <v/>
      </c>
      <c r="S108" s="25" t="n"/>
    </row>
    <row r="109">
      <c r="A109" s="24" t="n"/>
      <c r="B109" s="25" t="n"/>
      <c r="C109" s="27" t="n"/>
      <c r="D109" s="26" t="n"/>
      <c r="E109" s="27" t="n"/>
      <c r="F109" s="25" t="n"/>
      <c r="G109" s="27" t="n"/>
      <c r="H109" s="26" t="n"/>
      <c r="I109" s="27" t="n"/>
      <c r="J109" s="27" t="n"/>
      <c r="K109" s="27" t="n"/>
      <c r="L109" s="28" t="n"/>
      <c r="M109" s="27" t="n"/>
      <c r="N109" s="27" t="n"/>
      <c r="O109" s="27">
        <f>IF(AND(M109="",N109=""),"",IF(OR(M109="No Hit",N109="No Hit"),"Loss",IF(AND(M109="Hit",N109="Hit"),"Win","Pending")))</f>
        <v/>
      </c>
      <c r="P109" s="28">
        <f>IF(OR(K109="",L109=""),"",IF(K109&gt;0,L109*(K109/100),L109*(100/(-K109))))</f>
        <v/>
      </c>
      <c r="Q109" s="29">
        <f>IF(O109="Win",P109,IF(O109="Loss",-L109,""))</f>
        <v/>
      </c>
      <c r="R109" s="29">
        <f>IF(Q109="","",SUM($Q$2:Q109))</f>
        <v/>
      </c>
      <c r="S109" s="25" t="n"/>
    </row>
    <row r="110">
      <c r="A110" s="24" t="n"/>
      <c r="B110" s="25" t="n"/>
      <c r="C110" s="27" t="n"/>
      <c r="D110" s="26" t="n"/>
      <c r="E110" s="27" t="n"/>
      <c r="F110" s="25" t="n"/>
      <c r="G110" s="27" t="n"/>
      <c r="H110" s="26" t="n"/>
      <c r="I110" s="27" t="n"/>
      <c r="J110" s="27" t="n"/>
      <c r="K110" s="27" t="n"/>
      <c r="L110" s="28" t="n"/>
      <c r="M110" s="27" t="n"/>
      <c r="N110" s="27" t="n"/>
      <c r="O110" s="27">
        <f>IF(AND(M110="",N110=""),"",IF(OR(M110="No Hit",N110="No Hit"),"Loss",IF(AND(M110="Hit",N110="Hit"),"Win","Pending")))</f>
        <v/>
      </c>
      <c r="P110" s="28">
        <f>IF(OR(K110="",L110=""),"",IF(K110&gt;0,L110*(K110/100),L110*(100/(-K110))))</f>
        <v/>
      </c>
      <c r="Q110" s="29">
        <f>IF(O110="Win",P110,IF(O110="Loss",-L110,""))</f>
        <v/>
      </c>
      <c r="R110" s="29">
        <f>IF(Q110="","",SUM($Q$2:Q110))</f>
        <v/>
      </c>
      <c r="S110" s="25" t="n"/>
    </row>
    <row r="111">
      <c r="A111" s="24" t="n"/>
      <c r="B111" s="25" t="n"/>
      <c r="C111" s="27" t="n"/>
      <c r="D111" s="26" t="n"/>
      <c r="E111" s="27" t="n"/>
      <c r="F111" s="25" t="n"/>
      <c r="G111" s="27" t="n"/>
      <c r="H111" s="26" t="n"/>
      <c r="I111" s="27" t="n"/>
      <c r="J111" s="27" t="n"/>
      <c r="K111" s="27" t="n"/>
      <c r="L111" s="28" t="n"/>
      <c r="M111" s="27" t="n"/>
      <c r="N111" s="27" t="n"/>
      <c r="O111" s="27">
        <f>IF(AND(M111="",N111=""),"",IF(OR(M111="No Hit",N111="No Hit"),"Loss",IF(AND(M111="Hit",N111="Hit"),"Win","Pending")))</f>
        <v/>
      </c>
      <c r="P111" s="28">
        <f>IF(OR(K111="",L111=""),"",IF(K111&gt;0,L111*(K111/100),L111*(100/(-K111))))</f>
        <v/>
      </c>
      <c r="Q111" s="29">
        <f>IF(O111="Win",P111,IF(O111="Loss",-L111,""))</f>
        <v/>
      </c>
      <c r="R111" s="29">
        <f>IF(Q111="","",SUM($Q$2:Q111))</f>
        <v/>
      </c>
      <c r="S111" s="25" t="n"/>
    </row>
    <row r="112">
      <c r="A112" s="24" t="n"/>
      <c r="B112" s="25" t="n"/>
      <c r="C112" s="27" t="n"/>
      <c r="D112" s="26" t="n"/>
      <c r="E112" s="27" t="n"/>
      <c r="F112" s="25" t="n"/>
      <c r="G112" s="27" t="n"/>
      <c r="H112" s="26" t="n"/>
      <c r="I112" s="27" t="n"/>
      <c r="J112" s="27" t="n"/>
      <c r="K112" s="27" t="n"/>
      <c r="L112" s="28" t="n"/>
      <c r="M112" s="27" t="n"/>
      <c r="N112" s="27" t="n"/>
      <c r="O112" s="27">
        <f>IF(AND(M112="",N112=""),"",IF(OR(M112="No Hit",N112="No Hit"),"Loss",IF(AND(M112="Hit",N112="Hit"),"Win","Pending")))</f>
        <v/>
      </c>
      <c r="P112" s="28">
        <f>IF(OR(K112="",L112=""),"",IF(K112&gt;0,L112*(K112/100),L112*(100/(-K112))))</f>
        <v/>
      </c>
      <c r="Q112" s="29">
        <f>IF(O112="Win",P112,IF(O112="Loss",-L112,""))</f>
        <v/>
      </c>
      <c r="R112" s="29">
        <f>IF(Q112="","",SUM($Q$2:Q112))</f>
        <v/>
      </c>
      <c r="S112" s="25" t="n"/>
    </row>
    <row r="113">
      <c r="A113" s="24" t="n"/>
      <c r="B113" s="25" t="n"/>
      <c r="C113" s="27" t="n"/>
      <c r="D113" s="26" t="n"/>
      <c r="E113" s="27" t="n"/>
      <c r="F113" s="25" t="n"/>
      <c r="G113" s="27" t="n"/>
      <c r="H113" s="26" t="n"/>
      <c r="I113" s="27" t="n"/>
      <c r="J113" s="27" t="n"/>
      <c r="K113" s="27" t="n"/>
      <c r="L113" s="28" t="n"/>
      <c r="M113" s="27" t="n"/>
      <c r="N113" s="27" t="n"/>
      <c r="O113" s="27">
        <f>IF(AND(M113="",N113=""),"",IF(OR(M113="No Hit",N113="No Hit"),"Loss",IF(AND(M113="Hit",N113="Hit"),"Win","Pending")))</f>
        <v/>
      </c>
      <c r="P113" s="28">
        <f>IF(OR(K113="",L113=""),"",IF(K113&gt;0,L113*(K113/100),L113*(100/(-K113))))</f>
        <v/>
      </c>
      <c r="Q113" s="29">
        <f>IF(O113="Win",P113,IF(O113="Loss",-L113,""))</f>
        <v/>
      </c>
      <c r="R113" s="29">
        <f>IF(Q113="","",SUM($Q$2:Q113))</f>
        <v/>
      </c>
      <c r="S113" s="25" t="n"/>
    </row>
    <row r="114">
      <c r="A114" s="24" t="n"/>
      <c r="B114" s="25" t="n"/>
      <c r="C114" s="27" t="n"/>
      <c r="D114" s="26" t="n"/>
      <c r="E114" s="27" t="n"/>
      <c r="F114" s="25" t="n"/>
      <c r="G114" s="27" t="n"/>
      <c r="H114" s="26" t="n"/>
      <c r="I114" s="27" t="n"/>
      <c r="J114" s="27" t="n"/>
      <c r="K114" s="27" t="n"/>
      <c r="L114" s="28" t="n"/>
      <c r="M114" s="27" t="n"/>
      <c r="N114" s="27" t="n"/>
      <c r="O114" s="27">
        <f>IF(AND(M114="",N114=""),"",IF(OR(M114="No Hit",N114="No Hit"),"Loss",IF(AND(M114="Hit",N114="Hit"),"Win","Pending")))</f>
        <v/>
      </c>
      <c r="P114" s="28">
        <f>IF(OR(K114="",L114=""),"",IF(K114&gt;0,L114*(K114/100),L114*(100/(-K114))))</f>
        <v/>
      </c>
      <c r="Q114" s="29">
        <f>IF(O114="Win",P114,IF(O114="Loss",-L114,""))</f>
        <v/>
      </c>
      <c r="R114" s="29">
        <f>IF(Q114="","",SUM($Q$2:Q114))</f>
        <v/>
      </c>
      <c r="S114" s="25" t="n"/>
    </row>
    <row r="115">
      <c r="A115" s="24" t="n"/>
      <c r="B115" s="25" t="n"/>
      <c r="C115" s="27" t="n"/>
      <c r="D115" s="26" t="n"/>
      <c r="E115" s="27" t="n"/>
      <c r="F115" s="25" t="n"/>
      <c r="G115" s="27" t="n"/>
      <c r="H115" s="26" t="n"/>
      <c r="I115" s="27" t="n"/>
      <c r="J115" s="27" t="n"/>
      <c r="K115" s="27" t="n"/>
      <c r="L115" s="28" t="n"/>
      <c r="M115" s="27" t="n"/>
      <c r="N115" s="27" t="n"/>
      <c r="O115" s="27">
        <f>IF(AND(M115="",N115=""),"",IF(OR(M115="No Hit",N115="No Hit"),"Loss",IF(AND(M115="Hit",N115="Hit"),"Win","Pending")))</f>
        <v/>
      </c>
      <c r="P115" s="28">
        <f>IF(OR(K115="",L115=""),"",IF(K115&gt;0,L115*(K115/100),L115*(100/(-K115))))</f>
        <v/>
      </c>
      <c r="Q115" s="29">
        <f>IF(O115="Win",P115,IF(O115="Loss",-L115,""))</f>
        <v/>
      </c>
      <c r="R115" s="29">
        <f>IF(Q115="","",SUM($Q$2:Q115))</f>
        <v/>
      </c>
      <c r="S115" s="25" t="n"/>
    </row>
    <row r="116">
      <c r="A116" s="24" t="n"/>
      <c r="B116" s="25" t="n"/>
      <c r="C116" s="27" t="n"/>
      <c r="D116" s="26" t="n"/>
      <c r="E116" s="27" t="n"/>
      <c r="F116" s="25" t="n"/>
      <c r="G116" s="27" t="n"/>
      <c r="H116" s="26" t="n"/>
      <c r="I116" s="27" t="n"/>
      <c r="J116" s="27" t="n"/>
      <c r="K116" s="27" t="n"/>
      <c r="L116" s="28" t="n"/>
      <c r="M116" s="27" t="n"/>
      <c r="N116" s="27" t="n"/>
      <c r="O116" s="27">
        <f>IF(AND(M116="",N116=""),"",IF(OR(M116="No Hit",N116="No Hit"),"Loss",IF(AND(M116="Hit",N116="Hit"),"Win","Pending")))</f>
        <v/>
      </c>
      <c r="P116" s="28">
        <f>IF(OR(K116="",L116=""),"",IF(K116&gt;0,L116*(K116/100),L116*(100/(-K116))))</f>
        <v/>
      </c>
      <c r="Q116" s="29">
        <f>IF(O116="Win",P116,IF(O116="Loss",-L116,""))</f>
        <v/>
      </c>
      <c r="R116" s="29">
        <f>IF(Q116="","",SUM($Q$2:Q116))</f>
        <v/>
      </c>
      <c r="S116" s="25" t="n"/>
    </row>
    <row r="117">
      <c r="A117" s="24" t="n"/>
      <c r="B117" s="25" t="n"/>
      <c r="C117" s="27" t="n"/>
      <c r="D117" s="26" t="n"/>
      <c r="E117" s="27" t="n"/>
      <c r="F117" s="25" t="n"/>
      <c r="G117" s="27" t="n"/>
      <c r="H117" s="26" t="n"/>
      <c r="I117" s="27" t="n"/>
      <c r="J117" s="27" t="n"/>
      <c r="K117" s="27" t="n"/>
      <c r="L117" s="28" t="n"/>
      <c r="M117" s="27" t="n"/>
      <c r="N117" s="27" t="n"/>
      <c r="O117" s="27">
        <f>IF(AND(M117="",N117=""),"",IF(OR(M117="No Hit",N117="No Hit"),"Loss",IF(AND(M117="Hit",N117="Hit"),"Win","Pending")))</f>
        <v/>
      </c>
      <c r="P117" s="28">
        <f>IF(OR(K117="",L117=""),"",IF(K117&gt;0,L117*(K117/100),L117*(100/(-K117))))</f>
        <v/>
      </c>
      <c r="Q117" s="29">
        <f>IF(O117="Win",P117,IF(O117="Loss",-L117,""))</f>
        <v/>
      </c>
      <c r="R117" s="29">
        <f>IF(Q117="","",SUM($Q$2:Q117))</f>
        <v/>
      </c>
      <c r="S117" s="25" t="n"/>
    </row>
    <row r="118">
      <c r="A118" s="24" t="n"/>
      <c r="B118" s="25" t="n"/>
      <c r="C118" s="27" t="n"/>
      <c r="D118" s="26" t="n"/>
      <c r="E118" s="27" t="n"/>
      <c r="F118" s="25" t="n"/>
      <c r="G118" s="27" t="n"/>
      <c r="H118" s="26" t="n"/>
      <c r="I118" s="27" t="n"/>
      <c r="J118" s="27" t="n"/>
      <c r="K118" s="27" t="n"/>
      <c r="L118" s="28" t="n"/>
      <c r="M118" s="27" t="n"/>
      <c r="N118" s="27" t="n"/>
      <c r="O118" s="27">
        <f>IF(AND(M118="",N118=""),"",IF(OR(M118="No Hit",N118="No Hit"),"Loss",IF(AND(M118="Hit",N118="Hit"),"Win","Pending")))</f>
        <v/>
      </c>
      <c r="P118" s="28">
        <f>IF(OR(K118="",L118=""),"",IF(K118&gt;0,L118*(K118/100),L118*(100/(-K118))))</f>
        <v/>
      </c>
      <c r="Q118" s="29">
        <f>IF(O118="Win",P118,IF(O118="Loss",-L118,""))</f>
        <v/>
      </c>
      <c r="R118" s="29">
        <f>IF(Q118="","",SUM($Q$2:Q118))</f>
        <v/>
      </c>
      <c r="S118" s="25" t="n"/>
    </row>
    <row r="119">
      <c r="A119" s="24" t="n"/>
      <c r="B119" s="25" t="n"/>
      <c r="C119" s="27" t="n"/>
      <c r="D119" s="26" t="n"/>
      <c r="E119" s="27" t="n"/>
      <c r="F119" s="25" t="n"/>
      <c r="G119" s="27" t="n"/>
      <c r="H119" s="26" t="n"/>
      <c r="I119" s="27" t="n"/>
      <c r="J119" s="27" t="n"/>
      <c r="K119" s="27" t="n"/>
      <c r="L119" s="28" t="n"/>
      <c r="M119" s="27" t="n"/>
      <c r="N119" s="27" t="n"/>
      <c r="O119" s="27">
        <f>IF(AND(M119="",N119=""),"",IF(OR(M119="No Hit",N119="No Hit"),"Loss",IF(AND(M119="Hit",N119="Hit"),"Win","Pending")))</f>
        <v/>
      </c>
      <c r="P119" s="28">
        <f>IF(OR(K119="",L119=""),"",IF(K119&gt;0,L119*(K119/100),L119*(100/(-K119))))</f>
        <v/>
      </c>
      <c r="Q119" s="29">
        <f>IF(O119="Win",P119,IF(O119="Loss",-L119,""))</f>
        <v/>
      </c>
      <c r="R119" s="29">
        <f>IF(Q119="","",SUM($Q$2:Q119))</f>
        <v/>
      </c>
      <c r="S119" s="25" t="n"/>
    </row>
    <row r="120">
      <c r="A120" s="24" t="n"/>
      <c r="B120" s="25" t="n"/>
      <c r="C120" s="27" t="n"/>
      <c r="D120" s="26" t="n"/>
      <c r="E120" s="27" t="n"/>
      <c r="F120" s="25" t="n"/>
      <c r="G120" s="27" t="n"/>
      <c r="H120" s="26" t="n"/>
      <c r="I120" s="27" t="n"/>
      <c r="J120" s="27" t="n"/>
      <c r="K120" s="27" t="n"/>
      <c r="L120" s="28" t="n"/>
      <c r="M120" s="27" t="n"/>
      <c r="N120" s="27" t="n"/>
      <c r="O120" s="27">
        <f>IF(AND(M120="",N120=""),"",IF(OR(M120="No Hit",N120="No Hit"),"Loss",IF(AND(M120="Hit",N120="Hit"),"Win","Pending")))</f>
        <v/>
      </c>
      <c r="P120" s="28">
        <f>IF(OR(K120="",L120=""),"",IF(K120&gt;0,L120*(K120/100),L120*(100/(-K120))))</f>
        <v/>
      </c>
      <c r="Q120" s="29">
        <f>IF(O120="Win",P120,IF(O120="Loss",-L120,""))</f>
        <v/>
      </c>
      <c r="R120" s="29">
        <f>IF(Q120="","",SUM($Q$2:Q120))</f>
        <v/>
      </c>
      <c r="S120" s="25" t="n"/>
    </row>
    <row r="121">
      <c r="A121" s="24" t="n"/>
      <c r="B121" s="25" t="n"/>
      <c r="C121" s="27" t="n"/>
      <c r="D121" s="26" t="n"/>
      <c r="E121" s="27" t="n"/>
      <c r="F121" s="25" t="n"/>
      <c r="G121" s="27" t="n"/>
      <c r="H121" s="26" t="n"/>
      <c r="I121" s="27" t="n"/>
      <c r="J121" s="27" t="n"/>
      <c r="K121" s="27" t="n"/>
      <c r="L121" s="28" t="n"/>
      <c r="M121" s="27" t="n"/>
      <c r="N121" s="27" t="n"/>
      <c r="O121" s="27">
        <f>IF(AND(M121="",N121=""),"",IF(OR(M121="No Hit",N121="No Hit"),"Loss",IF(AND(M121="Hit",N121="Hit"),"Win","Pending")))</f>
        <v/>
      </c>
      <c r="P121" s="28">
        <f>IF(OR(K121="",L121=""),"",IF(K121&gt;0,L121*(K121/100),L121*(100/(-K121))))</f>
        <v/>
      </c>
      <c r="Q121" s="29">
        <f>IF(O121="Win",P121,IF(O121="Loss",-L121,""))</f>
        <v/>
      </c>
      <c r="R121" s="29">
        <f>IF(Q121="","",SUM($Q$2:Q121))</f>
        <v/>
      </c>
      <c r="S121" s="25" t="n"/>
    </row>
    <row r="122">
      <c r="A122" s="24" t="n"/>
      <c r="B122" s="25" t="n"/>
      <c r="C122" s="27" t="n"/>
      <c r="D122" s="26" t="n"/>
      <c r="E122" s="27" t="n"/>
      <c r="F122" s="25" t="n"/>
      <c r="G122" s="27" t="n"/>
      <c r="H122" s="26" t="n"/>
      <c r="I122" s="27" t="n"/>
      <c r="J122" s="27" t="n"/>
      <c r="K122" s="27" t="n"/>
      <c r="L122" s="28" t="n"/>
      <c r="M122" s="27" t="n"/>
      <c r="N122" s="27" t="n"/>
      <c r="O122" s="27">
        <f>IF(AND(M122="",N122=""),"",IF(OR(M122="No Hit",N122="No Hit"),"Loss",IF(AND(M122="Hit",N122="Hit"),"Win","Pending")))</f>
        <v/>
      </c>
      <c r="P122" s="28">
        <f>IF(OR(K122="",L122=""),"",IF(K122&gt;0,L122*(K122/100),L122*(100/(-K122))))</f>
        <v/>
      </c>
      <c r="Q122" s="29">
        <f>IF(O122="Win",P122,IF(O122="Loss",-L122,""))</f>
        <v/>
      </c>
      <c r="R122" s="29">
        <f>IF(Q122="","",SUM($Q$2:Q122))</f>
        <v/>
      </c>
      <c r="S122" s="25" t="n"/>
    </row>
    <row r="123">
      <c r="A123" s="24" t="n"/>
      <c r="B123" s="25" t="n"/>
      <c r="C123" s="27" t="n"/>
      <c r="D123" s="26" t="n"/>
      <c r="E123" s="27" t="n"/>
      <c r="F123" s="25" t="n"/>
      <c r="G123" s="27" t="n"/>
      <c r="H123" s="26" t="n"/>
      <c r="I123" s="27" t="n"/>
      <c r="J123" s="27" t="n"/>
      <c r="K123" s="27" t="n"/>
      <c r="L123" s="28" t="n"/>
      <c r="M123" s="27" t="n"/>
      <c r="N123" s="27" t="n"/>
      <c r="O123" s="27">
        <f>IF(AND(M123="",N123=""),"",IF(OR(M123="No Hit",N123="No Hit"),"Loss",IF(AND(M123="Hit",N123="Hit"),"Win","Pending")))</f>
        <v/>
      </c>
      <c r="P123" s="28">
        <f>IF(OR(K123="",L123=""),"",IF(K123&gt;0,L123*(K123/100),L123*(100/(-K123))))</f>
        <v/>
      </c>
      <c r="Q123" s="29">
        <f>IF(O123="Win",P123,IF(O123="Loss",-L123,""))</f>
        <v/>
      </c>
      <c r="R123" s="29">
        <f>IF(Q123="","",SUM($Q$2:Q123))</f>
        <v/>
      </c>
      <c r="S123" s="25" t="n"/>
    </row>
    <row r="124">
      <c r="A124" s="24" t="n"/>
      <c r="B124" s="25" t="n"/>
      <c r="C124" s="27" t="n"/>
      <c r="D124" s="26" t="n"/>
      <c r="E124" s="27" t="n"/>
      <c r="F124" s="25" t="n"/>
      <c r="G124" s="27" t="n"/>
      <c r="H124" s="26" t="n"/>
      <c r="I124" s="27" t="n"/>
      <c r="J124" s="27" t="n"/>
      <c r="K124" s="27" t="n"/>
      <c r="L124" s="28" t="n"/>
      <c r="M124" s="27" t="n"/>
      <c r="N124" s="27" t="n"/>
      <c r="O124" s="27">
        <f>IF(AND(M124="",N124=""),"",IF(OR(M124="No Hit",N124="No Hit"),"Loss",IF(AND(M124="Hit",N124="Hit"),"Win","Pending")))</f>
        <v/>
      </c>
      <c r="P124" s="28">
        <f>IF(OR(K124="",L124=""),"",IF(K124&gt;0,L124*(K124/100),L124*(100/(-K124))))</f>
        <v/>
      </c>
      <c r="Q124" s="29">
        <f>IF(O124="Win",P124,IF(O124="Loss",-L124,""))</f>
        <v/>
      </c>
      <c r="R124" s="29">
        <f>IF(Q124="","",SUM($Q$2:Q124))</f>
        <v/>
      </c>
      <c r="S124" s="25" t="n"/>
    </row>
    <row r="125">
      <c r="A125" s="24" t="n"/>
      <c r="B125" s="25" t="n"/>
      <c r="C125" s="27" t="n"/>
      <c r="D125" s="26" t="n"/>
      <c r="E125" s="27" t="n"/>
      <c r="F125" s="25" t="n"/>
      <c r="G125" s="27" t="n"/>
      <c r="H125" s="26" t="n"/>
      <c r="I125" s="27" t="n"/>
      <c r="J125" s="27" t="n"/>
      <c r="K125" s="27" t="n"/>
      <c r="L125" s="28" t="n"/>
      <c r="M125" s="27" t="n"/>
      <c r="N125" s="27" t="n"/>
      <c r="O125" s="27">
        <f>IF(AND(M125="",N125=""),"",IF(OR(M125="No Hit",N125="No Hit"),"Loss",IF(AND(M125="Hit",N125="Hit"),"Win","Pending")))</f>
        <v/>
      </c>
      <c r="P125" s="28">
        <f>IF(OR(K125="",L125=""),"",IF(K125&gt;0,L125*(K125/100),L125*(100/(-K125))))</f>
        <v/>
      </c>
      <c r="Q125" s="29">
        <f>IF(O125="Win",P125,IF(O125="Loss",-L125,""))</f>
        <v/>
      </c>
      <c r="R125" s="29">
        <f>IF(Q125="","",SUM($Q$2:Q125))</f>
        <v/>
      </c>
      <c r="S125" s="25" t="n"/>
    </row>
    <row r="126">
      <c r="A126" s="24" t="n"/>
      <c r="B126" s="25" t="n"/>
      <c r="C126" s="27" t="n"/>
      <c r="D126" s="26" t="n"/>
      <c r="E126" s="27" t="n"/>
      <c r="F126" s="25" t="n"/>
      <c r="G126" s="27" t="n"/>
      <c r="H126" s="26" t="n"/>
      <c r="I126" s="27" t="n"/>
      <c r="J126" s="27" t="n"/>
      <c r="K126" s="27" t="n"/>
      <c r="L126" s="28" t="n"/>
      <c r="M126" s="27" t="n"/>
      <c r="N126" s="27" t="n"/>
      <c r="O126" s="27">
        <f>IF(AND(M126="",N126=""),"",IF(OR(M126="No Hit",N126="No Hit"),"Loss",IF(AND(M126="Hit",N126="Hit"),"Win","Pending")))</f>
        <v/>
      </c>
      <c r="P126" s="28">
        <f>IF(OR(K126="",L126=""),"",IF(K126&gt;0,L126*(K126/100),L126*(100/(-K126))))</f>
        <v/>
      </c>
      <c r="Q126" s="29">
        <f>IF(O126="Win",P126,IF(O126="Loss",-L126,""))</f>
        <v/>
      </c>
      <c r="R126" s="29">
        <f>IF(Q126="","",SUM($Q$2:Q126))</f>
        <v/>
      </c>
      <c r="S126" s="25" t="n"/>
    </row>
    <row r="127">
      <c r="A127" s="24" t="n"/>
      <c r="B127" s="25" t="n"/>
      <c r="C127" s="27" t="n"/>
      <c r="D127" s="26" t="n"/>
      <c r="E127" s="27" t="n"/>
      <c r="F127" s="25" t="n"/>
      <c r="G127" s="27" t="n"/>
      <c r="H127" s="26" t="n"/>
      <c r="I127" s="27" t="n"/>
      <c r="J127" s="27" t="n"/>
      <c r="K127" s="27" t="n"/>
      <c r="L127" s="28" t="n"/>
      <c r="M127" s="27" t="n"/>
      <c r="N127" s="27" t="n"/>
      <c r="O127" s="27">
        <f>IF(AND(M127="",N127=""),"",IF(OR(M127="No Hit",N127="No Hit"),"Loss",IF(AND(M127="Hit",N127="Hit"),"Win","Pending")))</f>
        <v/>
      </c>
      <c r="P127" s="28">
        <f>IF(OR(K127="",L127=""),"",IF(K127&gt;0,L127*(K127/100),L127*(100/(-K127))))</f>
        <v/>
      </c>
      <c r="Q127" s="29">
        <f>IF(O127="Win",P127,IF(O127="Loss",-L127,""))</f>
        <v/>
      </c>
      <c r="R127" s="29">
        <f>IF(Q127="","",SUM($Q$2:Q127))</f>
        <v/>
      </c>
      <c r="S127" s="25" t="n"/>
    </row>
    <row r="128">
      <c r="A128" s="24" t="n"/>
      <c r="B128" s="25" t="n"/>
      <c r="C128" s="27" t="n"/>
      <c r="D128" s="26" t="n"/>
      <c r="E128" s="27" t="n"/>
      <c r="F128" s="25" t="n"/>
      <c r="G128" s="27" t="n"/>
      <c r="H128" s="26" t="n"/>
      <c r="I128" s="27" t="n"/>
      <c r="J128" s="27" t="n"/>
      <c r="K128" s="27" t="n"/>
      <c r="L128" s="28" t="n"/>
      <c r="M128" s="27" t="n"/>
      <c r="N128" s="27" t="n"/>
      <c r="O128" s="27">
        <f>IF(AND(M128="",N128=""),"",IF(OR(M128="No Hit",N128="No Hit"),"Loss",IF(AND(M128="Hit",N128="Hit"),"Win","Pending")))</f>
        <v/>
      </c>
      <c r="P128" s="28">
        <f>IF(OR(K128="",L128=""),"",IF(K128&gt;0,L128*(K128/100),L128*(100/(-K128))))</f>
        <v/>
      </c>
      <c r="Q128" s="29">
        <f>IF(O128="Win",P128,IF(O128="Loss",-L128,""))</f>
        <v/>
      </c>
      <c r="R128" s="29">
        <f>IF(Q128="","",SUM($Q$2:Q128))</f>
        <v/>
      </c>
      <c r="S128" s="25" t="n"/>
    </row>
    <row r="129">
      <c r="A129" s="24" t="n"/>
      <c r="B129" s="25" t="n"/>
      <c r="C129" s="27" t="n"/>
      <c r="D129" s="26" t="n"/>
      <c r="E129" s="27" t="n"/>
      <c r="F129" s="25" t="n"/>
      <c r="G129" s="27" t="n"/>
      <c r="H129" s="26" t="n"/>
      <c r="I129" s="27" t="n"/>
      <c r="J129" s="27" t="n"/>
      <c r="K129" s="27" t="n"/>
      <c r="L129" s="28" t="n"/>
      <c r="M129" s="27" t="n"/>
      <c r="N129" s="27" t="n"/>
      <c r="O129" s="27">
        <f>IF(AND(M129="",N129=""),"",IF(OR(M129="No Hit",N129="No Hit"),"Loss",IF(AND(M129="Hit",N129="Hit"),"Win","Pending")))</f>
        <v/>
      </c>
      <c r="P129" s="28">
        <f>IF(OR(K129="",L129=""),"",IF(K129&gt;0,L129*(K129/100),L129*(100/(-K129))))</f>
        <v/>
      </c>
      <c r="Q129" s="29">
        <f>IF(O129="Win",P129,IF(O129="Loss",-L129,""))</f>
        <v/>
      </c>
      <c r="R129" s="29">
        <f>IF(Q129="","",SUM($Q$2:Q129))</f>
        <v/>
      </c>
      <c r="S129" s="25" t="n"/>
    </row>
    <row r="130">
      <c r="A130" s="24" t="n"/>
      <c r="B130" s="25" t="n"/>
      <c r="C130" s="27" t="n"/>
      <c r="D130" s="26" t="n"/>
      <c r="E130" s="27" t="n"/>
      <c r="F130" s="25" t="n"/>
      <c r="G130" s="27" t="n"/>
      <c r="H130" s="26" t="n"/>
      <c r="I130" s="27" t="n"/>
      <c r="J130" s="27" t="n"/>
      <c r="K130" s="27" t="n"/>
      <c r="L130" s="28" t="n"/>
      <c r="M130" s="27" t="n"/>
      <c r="N130" s="27" t="n"/>
      <c r="O130" s="27">
        <f>IF(AND(M130="",N130=""),"",IF(OR(M130="No Hit",N130="No Hit"),"Loss",IF(AND(M130="Hit",N130="Hit"),"Win","Pending")))</f>
        <v/>
      </c>
      <c r="P130" s="28">
        <f>IF(OR(K130="",L130=""),"",IF(K130&gt;0,L130*(K130/100),L130*(100/(-K130))))</f>
        <v/>
      </c>
      <c r="Q130" s="29">
        <f>IF(O130="Win",P130,IF(O130="Loss",-L130,""))</f>
        <v/>
      </c>
      <c r="R130" s="29">
        <f>IF(Q130="","",SUM($Q$2:Q130))</f>
        <v/>
      </c>
      <c r="S130" s="25" t="n"/>
    </row>
    <row r="131">
      <c r="A131" s="24" t="n"/>
      <c r="B131" s="25" t="n"/>
      <c r="C131" s="27" t="n"/>
      <c r="D131" s="26" t="n"/>
      <c r="E131" s="27" t="n"/>
      <c r="F131" s="25" t="n"/>
      <c r="G131" s="27" t="n"/>
      <c r="H131" s="26" t="n"/>
      <c r="I131" s="27" t="n"/>
      <c r="J131" s="27" t="n"/>
      <c r="K131" s="27" t="n"/>
      <c r="L131" s="28" t="n"/>
      <c r="M131" s="27" t="n"/>
      <c r="N131" s="27" t="n"/>
      <c r="O131" s="27">
        <f>IF(AND(M131="",N131=""),"",IF(OR(M131="No Hit",N131="No Hit"),"Loss",IF(AND(M131="Hit",N131="Hit"),"Win","Pending")))</f>
        <v/>
      </c>
      <c r="P131" s="28">
        <f>IF(OR(K131="",L131=""),"",IF(K131&gt;0,L131*(K131/100),L131*(100/(-K131))))</f>
        <v/>
      </c>
      <c r="Q131" s="29">
        <f>IF(O131="Win",P131,IF(O131="Loss",-L131,""))</f>
        <v/>
      </c>
      <c r="R131" s="29">
        <f>IF(Q131="","",SUM($Q$2:Q131))</f>
        <v/>
      </c>
      <c r="S131" s="25" t="n"/>
    </row>
    <row r="132">
      <c r="A132" s="24" t="n"/>
      <c r="B132" s="25" t="n"/>
      <c r="C132" s="27" t="n"/>
      <c r="D132" s="26" t="n"/>
      <c r="E132" s="27" t="n"/>
      <c r="F132" s="25" t="n"/>
      <c r="G132" s="27" t="n"/>
      <c r="H132" s="26" t="n"/>
      <c r="I132" s="27" t="n"/>
      <c r="J132" s="27" t="n"/>
      <c r="K132" s="27" t="n"/>
      <c r="L132" s="28" t="n"/>
      <c r="M132" s="27" t="n"/>
      <c r="N132" s="27" t="n"/>
      <c r="O132" s="27">
        <f>IF(AND(M132="",N132=""),"",IF(OR(M132="No Hit",N132="No Hit"),"Loss",IF(AND(M132="Hit",N132="Hit"),"Win","Pending")))</f>
        <v/>
      </c>
      <c r="P132" s="28">
        <f>IF(OR(K132="",L132=""),"",IF(K132&gt;0,L132*(K132/100),L132*(100/(-K132))))</f>
        <v/>
      </c>
      <c r="Q132" s="29">
        <f>IF(O132="Win",P132,IF(O132="Loss",-L132,""))</f>
        <v/>
      </c>
      <c r="R132" s="29">
        <f>IF(Q132="","",SUM($Q$2:Q132))</f>
        <v/>
      </c>
      <c r="S132" s="25" t="n"/>
    </row>
    <row r="133">
      <c r="A133" s="24" t="n"/>
      <c r="B133" s="25" t="n"/>
      <c r="C133" s="27" t="n"/>
      <c r="D133" s="26" t="n"/>
      <c r="E133" s="27" t="n"/>
      <c r="F133" s="25" t="n"/>
      <c r="G133" s="27" t="n"/>
      <c r="H133" s="26" t="n"/>
      <c r="I133" s="27" t="n"/>
      <c r="J133" s="27" t="n"/>
      <c r="K133" s="27" t="n"/>
      <c r="L133" s="28" t="n"/>
      <c r="M133" s="27" t="n"/>
      <c r="N133" s="27" t="n"/>
      <c r="O133" s="27">
        <f>IF(AND(M133="",N133=""),"",IF(OR(M133="No Hit",N133="No Hit"),"Loss",IF(AND(M133="Hit",N133="Hit"),"Win","Pending")))</f>
        <v/>
      </c>
      <c r="P133" s="28">
        <f>IF(OR(K133="",L133=""),"",IF(K133&gt;0,L133*(K133/100),L133*(100/(-K133))))</f>
        <v/>
      </c>
      <c r="Q133" s="29">
        <f>IF(O133="Win",P133,IF(O133="Loss",-L133,""))</f>
        <v/>
      </c>
      <c r="R133" s="29">
        <f>IF(Q133="","",SUM($Q$2:Q133))</f>
        <v/>
      </c>
      <c r="S133" s="25" t="n"/>
    </row>
    <row r="134">
      <c r="A134" s="24" t="n"/>
      <c r="B134" s="25" t="n"/>
      <c r="C134" s="27" t="n"/>
      <c r="D134" s="26" t="n"/>
      <c r="E134" s="27" t="n"/>
      <c r="F134" s="25" t="n"/>
      <c r="G134" s="27" t="n"/>
      <c r="H134" s="26" t="n"/>
      <c r="I134" s="27" t="n"/>
      <c r="J134" s="27" t="n"/>
      <c r="K134" s="27" t="n"/>
      <c r="L134" s="28" t="n"/>
      <c r="M134" s="27" t="n"/>
      <c r="N134" s="27" t="n"/>
      <c r="O134" s="27">
        <f>IF(AND(M134="",N134=""),"",IF(OR(M134="No Hit",N134="No Hit"),"Loss",IF(AND(M134="Hit",N134="Hit"),"Win","Pending")))</f>
        <v/>
      </c>
      <c r="P134" s="28">
        <f>IF(OR(K134="",L134=""),"",IF(K134&gt;0,L134*(K134/100),L134*(100/(-K134))))</f>
        <v/>
      </c>
      <c r="Q134" s="29">
        <f>IF(O134="Win",P134,IF(O134="Loss",-L134,""))</f>
        <v/>
      </c>
      <c r="R134" s="29">
        <f>IF(Q134="","",SUM($Q$2:Q134))</f>
        <v/>
      </c>
      <c r="S134" s="25" t="n"/>
    </row>
    <row r="135">
      <c r="A135" s="24" t="n"/>
      <c r="B135" s="25" t="n"/>
      <c r="C135" s="27" t="n"/>
      <c r="D135" s="26" t="n"/>
      <c r="E135" s="27" t="n"/>
      <c r="F135" s="25" t="n"/>
      <c r="G135" s="27" t="n"/>
      <c r="H135" s="26" t="n"/>
      <c r="I135" s="27" t="n"/>
      <c r="J135" s="27" t="n"/>
      <c r="K135" s="27" t="n"/>
      <c r="L135" s="28" t="n"/>
      <c r="M135" s="27" t="n"/>
      <c r="N135" s="27" t="n"/>
      <c r="O135" s="27">
        <f>IF(AND(M135="",N135=""),"",IF(OR(M135="No Hit",N135="No Hit"),"Loss",IF(AND(M135="Hit",N135="Hit"),"Win","Pending")))</f>
        <v/>
      </c>
      <c r="P135" s="28">
        <f>IF(OR(K135="",L135=""),"",IF(K135&gt;0,L135*(K135/100),L135*(100/(-K135))))</f>
        <v/>
      </c>
      <c r="Q135" s="29">
        <f>IF(O135="Win",P135,IF(O135="Loss",-L135,""))</f>
        <v/>
      </c>
      <c r="R135" s="29">
        <f>IF(Q135="","",SUM($Q$2:Q135))</f>
        <v/>
      </c>
      <c r="S135" s="25" t="n"/>
    </row>
    <row r="136">
      <c r="A136" s="24" t="n"/>
      <c r="B136" s="25" t="n"/>
      <c r="C136" s="27" t="n"/>
      <c r="D136" s="26" t="n"/>
      <c r="E136" s="27" t="n"/>
      <c r="F136" s="25" t="n"/>
      <c r="G136" s="27" t="n"/>
      <c r="H136" s="26" t="n"/>
      <c r="I136" s="27" t="n"/>
      <c r="J136" s="27" t="n"/>
      <c r="K136" s="27" t="n"/>
      <c r="L136" s="28" t="n"/>
      <c r="M136" s="27" t="n"/>
      <c r="N136" s="27" t="n"/>
      <c r="O136" s="27">
        <f>IF(AND(M136="",N136=""),"",IF(OR(M136="No Hit",N136="No Hit"),"Loss",IF(AND(M136="Hit",N136="Hit"),"Win","Pending")))</f>
        <v/>
      </c>
      <c r="P136" s="28">
        <f>IF(OR(K136="",L136=""),"",IF(K136&gt;0,L136*(K136/100),L136*(100/(-K136))))</f>
        <v/>
      </c>
      <c r="Q136" s="29">
        <f>IF(O136="Win",P136,IF(O136="Loss",-L136,""))</f>
        <v/>
      </c>
      <c r="R136" s="29">
        <f>IF(Q136="","",SUM($Q$2:Q136))</f>
        <v/>
      </c>
      <c r="S136" s="25" t="n"/>
    </row>
    <row r="137">
      <c r="A137" s="24" t="n"/>
      <c r="B137" s="25" t="n"/>
      <c r="C137" s="27" t="n"/>
      <c r="D137" s="26" t="n"/>
      <c r="E137" s="27" t="n"/>
      <c r="F137" s="25" t="n"/>
      <c r="G137" s="27" t="n"/>
      <c r="H137" s="26" t="n"/>
      <c r="I137" s="27" t="n"/>
      <c r="J137" s="27" t="n"/>
      <c r="K137" s="27" t="n"/>
      <c r="L137" s="28" t="n"/>
      <c r="M137" s="27" t="n"/>
      <c r="N137" s="27" t="n"/>
      <c r="O137" s="27">
        <f>IF(AND(M137="",N137=""),"",IF(OR(M137="No Hit",N137="No Hit"),"Loss",IF(AND(M137="Hit",N137="Hit"),"Win","Pending")))</f>
        <v/>
      </c>
      <c r="P137" s="28">
        <f>IF(OR(K137="",L137=""),"",IF(K137&gt;0,L137*(K137/100),L137*(100/(-K137))))</f>
        <v/>
      </c>
      <c r="Q137" s="29">
        <f>IF(O137="Win",P137,IF(O137="Loss",-L137,""))</f>
        <v/>
      </c>
      <c r="R137" s="29">
        <f>IF(Q137="","",SUM($Q$2:Q137))</f>
        <v/>
      </c>
      <c r="S137" s="25" t="n"/>
    </row>
    <row r="138">
      <c r="A138" s="24" t="n"/>
      <c r="B138" s="25" t="n"/>
      <c r="C138" s="27" t="n"/>
      <c r="D138" s="26" t="n"/>
      <c r="E138" s="27" t="n"/>
      <c r="F138" s="25" t="n"/>
      <c r="G138" s="27" t="n"/>
      <c r="H138" s="26" t="n"/>
      <c r="I138" s="27" t="n"/>
      <c r="J138" s="27" t="n"/>
      <c r="K138" s="27" t="n"/>
      <c r="L138" s="28" t="n"/>
      <c r="M138" s="27" t="n"/>
      <c r="N138" s="27" t="n"/>
      <c r="O138" s="27">
        <f>IF(AND(M138="",N138=""),"",IF(OR(M138="No Hit",N138="No Hit"),"Loss",IF(AND(M138="Hit",N138="Hit"),"Win","Pending")))</f>
        <v/>
      </c>
      <c r="P138" s="28">
        <f>IF(OR(K138="",L138=""),"",IF(K138&gt;0,L138*(K138/100),L138*(100/(-K138))))</f>
        <v/>
      </c>
      <c r="Q138" s="29">
        <f>IF(O138="Win",P138,IF(O138="Loss",-L138,""))</f>
        <v/>
      </c>
      <c r="R138" s="29">
        <f>IF(Q138="","",SUM($Q$2:Q138))</f>
        <v/>
      </c>
      <c r="S138" s="25" t="n"/>
    </row>
    <row r="139">
      <c r="A139" s="24" t="n"/>
      <c r="B139" s="25" t="n"/>
      <c r="C139" s="27" t="n"/>
      <c r="D139" s="26" t="n"/>
      <c r="E139" s="27" t="n"/>
      <c r="F139" s="25" t="n"/>
      <c r="G139" s="27" t="n"/>
      <c r="H139" s="26" t="n"/>
      <c r="I139" s="27" t="n"/>
      <c r="J139" s="27" t="n"/>
      <c r="K139" s="27" t="n"/>
      <c r="L139" s="28" t="n"/>
      <c r="M139" s="27" t="n"/>
      <c r="N139" s="27" t="n"/>
      <c r="O139" s="27">
        <f>IF(AND(M139="",N139=""),"",IF(OR(M139="No Hit",N139="No Hit"),"Loss",IF(AND(M139="Hit",N139="Hit"),"Win","Pending")))</f>
        <v/>
      </c>
      <c r="P139" s="28">
        <f>IF(OR(K139="",L139=""),"",IF(K139&gt;0,L139*(K139/100),L139*(100/(-K139))))</f>
        <v/>
      </c>
      <c r="Q139" s="29">
        <f>IF(O139="Win",P139,IF(O139="Loss",-L139,""))</f>
        <v/>
      </c>
      <c r="R139" s="29">
        <f>IF(Q139="","",SUM($Q$2:Q139))</f>
        <v/>
      </c>
      <c r="S139" s="25" t="n"/>
    </row>
    <row r="140">
      <c r="A140" s="24" t="n"/>
      <c r="B140" s="25" t="n"/>
      <c r="C140" s="27" t="n"/>
      <c r="D140" s="26" t="n"/>
      <c r="E140" s="27" t="n"/>
      <c r="F140" s="25" t="n"/>
      <c r="G140" s="27" t="n"/>
      <c r="H140" s="26" t="n"/>
      <c r="I140" s="27" t="n"/>
      <c r="J140" s="27" t="n"/>
      <c r="K140" s="27" t="n"/>
      <c r="L140" s="28" t="n"/>
      <c r="M140" s="27" t="n"/>
      <c r="N140" s="27" t="n"/>
      <c r="O140" s="27">
        <f>IF(AND(M140="",N140=""),"",IF(OR(M140="No Hit",N140="No Hit"),"Loss",IF(AND(M140="Hit",N140="Hit"),"Win","Pending")))</f>
        <v/>
      </c>
      <c r="P140" s="28">
        <f>IF(OR(K140="",L140=""),"",IF(K140&gt;0,L140*(K140/100),L140*(100/(-K140))))</f>
        <v/>
      </c>
      <c r="Q140" s="29">
        <f>IF(O140="Win",P140,IF(O140="Loss",-L140,""))</f>
        <v/>
      </c>
      <c r="R140" s="29">
        <f>IF(Q140="","",SUM($Q$2:Q140))</f>
        <v/>
      </c>
      <c r="S140" s="25" t="n"/>
    </row>
    <row r="141">
      <c r="A141" s="24" t="n"/>
      <c r="B141" s="25" t="n"/>
      <c r="C141" s="27" t="n"/>
      <c r="D141" s="26" t="n"/>
      <c r="E141" s="27" t="n"/>
      <c r="F141" s="25" t="n"/>
      <c r="G141" s="27" t="n"/>
      <c r="H141" s="26" t="n"/>
      <c r="I141" s="27" t="n"/>
      <c r="J141" s="27" t="n"/>
      <c r="K141" s="27" t="n"/>
      <c r="L141" s="28" t="n"/>
      <c r="M141" s="27" t="n"/>
      <c r="N141" s="27" t="n"/>
      <c r="O141" s="27">
        <f>IF(AND(M141="",N141=""),"",IF(OR(M141="No Hit",N141="No Hit"),"Loss",IF(AND(M141="Hit",N141="Hit"),"Win","Pending")))</f>
        <v/>
      </c>
      <c r="P141" s="28">
        <f>IF(OR(K141="",L141=""),"",IF(K141&gt;0,L141*(K141/100),L141*(100/(-K141))))</f>
        <v/>
      </c>
      <c r="Q141" s="29">
        <f>IF(O141="Win",P141,IF(O141="Loss",-L141,""))</f>
        <v/>
      </c>
      <c r="R141" s="29">
        <f>IF(Q141="","",SUM($Q$2:Q141))</f>
        <v/>
      </c>
      <c r="S141" s="25" t="n"/>
    </row>
    <row r="142">
      <c r="A142" s="24" t="n"/>
      <c r="B142" s="25" t="n"/>
      <c r="C142" s="27" t="n"/>
      <c r="D142" s="26" t="n"/>
      <c r="E142" s="27" t="n"/>
      <c r="F142" s="25" t="n"/>
      <c r="G142" s="27" t="n"/>
      <c r="H142" s="26" t="n"/>
      <c r="I142" s="27" t="n"/>
      <c r="J142" s="27" t="n"/>
      <c r="K142" s="27" t="n"/>
      <c r="L142" s="28" t="n"/>
      <c r="M142" s="27" t="n"/>
      <c r="N142" s="27" t="n"/>
      <c r="O142" s="27">
        <f>IF(AND(M142="",N142=""),"",IF(OR(M142="No Hit",N142="No Hit"),"Loss",IF(AND(M142="Hit",N142="Hit"),"Win","Pending")))</f>
        <v/>
      </c>
      <c r="P142" s="28">
        <f>IF(OR(K142="",L142=""),"",IF(K142&gt;0,L142*(K142/100),L142*(100/(-K142))))</f>
        <v/>
      </c>
      <c r="Q142" s="29">
        <f>IF(O142="Win",P142,IF(O142="Loss",-L142,""))</f>
        <v/>
      </c>
      <c r="R142" s="29">
        <f>IF(Q142="","",SUM($Q$2:Q142))</f>
        <v/>
      </c>
      <c r="S142" s="25" t="n"/>
    </row>
    <row r="143">
      <c r="A143" s="24" t="n"/>
      <c r="B143" s="25" t="n"/>
      <c r="C143" s="27" t="n"/>
      <c r="D143" s="26" t="n"/>
      <c r="E143" s="27" t="n"/>
      <c r="F143" s="25" t="n"/>
      <c r="G143" s="27" t="n"/>
      <c r="H143" s="26" t="n"/>
      <c r="I143" s="27" t="n"/>
      <c r="J143" s="27" t="n"/>
      <c r="K143" s="27" t="n"/>
      <c r="L143" s="28" t="n"/>
      <c r="M143" s="27" t="n"/>
      <c r="N143" s="27" t="n"/>
      <c r="O143" s="27">
        <f>IF(AND(M143="",N143=""),"",IF(OR(M143="No Hit",N143="No Hit"),"Loss",IF(AND(M143="Hit",N143="Hit"),"Win","Pending")))</f>
        <v/>
      </c>
      <c r="P143" s="28">
        <f>IF(OR(K143="",L143=""),"",IF(K143&gt;0,L143*(K143/100),L143*(100/(-K143))))</f>
        <v/>
      </c>
      <c r="Q143" s="29">
        <f>IF(O143="Win",P143,IF(O143="Loss",-L143,""))</f>
        <v/>
      </c>
      <c r="R143" s="29">
        <f>IF(Q143="","",SUM($Q$2:Q143))</f>
        <v/>
      </c>
      <c r="S143" s="25" t="n"/>
    </row>
    <row r="144">
      <c r="A144" s="24" t="n"/>
      <c r="B144" s="25" t="n"/>
      <c r="C144" s="27" t="n"/>
      <c r="D144" s="26" t="n"/>
      <c r="E144" s="27" t="n"/>
      <c r="F144" s="25" t="n"/>
      <c r="G144" s="27" t="n"/>
      <c r="H144" s="26" t="n"/>
      <c r="I144" s="27" t="n"/>
      <c r="J144" s="27" t="n"/>
      <c r="K144" s="27" t="n"/>
      <c r="L144" s="28" t="n"/>
      <c r="M144" s="27" t="n"/>
      <c r="N144" s="27" t="n"/>
      <c r="O144" s="27">
        <f>IF(AND(M144="",N144=""),"",IF(OR(M144="No Hit",N144="No Hit"),"Loss",IF(AND(M144="Hit",N144="Hit"),"Win","Pending")))</f>
        <v/>
      </c>
      <c r="P144" s="28">
        <f>IF(OR(K144="",L144=""),"",IF(K144&gt;0,L144*(K144/100),L144*(100/(-K144))))</f>
        <v/>
      </c>
      <c r="Q144" s="29">
        <f>IF(O144="Win",P144,IF(O144="Loss",-L144,""))</f>
        <v/>
      </c>
      <c r="R144" s="29">
        <f>IF(Q144="","",SUM($Q$2:Q144))</f>
        <v/>
      </c>
      <c r="S144" s="25" t="n"/>
    </row>
    <row r="145">
      <c r="A145" s="24" t="n"/>
      <c r="B145" s="25" t="n"/>
      <c r="C145" s="27" t="n"/>
      <c r="D145" s="26" t="n"/>
      <c r="E145" s="27" t="n"/>
      <c r="F145" s="25" t="n"/>
      <c r="G145" s="27" t="n"/>
      <c r="H145" s="26" t="n"/>
      <c r="I145" s="27" t="n"/>
      <c r="J145" s="27" t="n"/>
      <c r="K145" s="27" t="n"/>
      <c r="L145" s="28" t="n"/>
      <c r="M145" s="27" t="n"/>
      <c r="N145" s="27" t="n"/>
      <c r="O145" s="27">
        <f>IF(AND(M145="",N145=""),"",IF(OR(M145="No Hit",N145="No Hit"),"Loss",IF(AND(M145="Hit",N145="Hit"),"Win","Pending")))</f>
        <v/>
      </c>
      <c r="P145" s="28">
        <f>IF(OR(K145="",L145=""),"",IF(K145&gt;0,L145*(K145/100),L145*(100/(-K145))))</f>
        <v/>
      </c>
      <c r="Q145" s="29">
        <f>IF(O145="Win",P145,IF(O145="Loss",-L145,""))</f>
        <v/>
      </c>
      <c r="R145" s="29">
        <f>IF(Q145="","",SUM($Q$2:Q145))</f>
        <v/>
      </c>
      <c r="S145" s="25" t="n"/>
    </row>
    <row r="146">
      <c r="A146" s="24" t="n"/>
      <c r="B146" s="25" t="n"/>
      <c r="C146" s="27" t="n"/>
      <c r="D146" s="26" t="n"/>
      <c r="E146" s="27" t="n"/>
      <c r="F146" s="25" t="n"/>
      <c r="G146" s="27" t="n"/>
      <c r="H146" s="26" t="n"/>
      <c r="I146" s="27" t="n"/>
      <c r="J146" s="27" t="n"/>
      <c r="K146" s="27" t="n"/>
      <c r="L146" s="28" t="n"/>
      <c r="M146" s="27" t="n"/>
      <c r="N146" s="27" t="n"/>
      <c r="O146" s="27">
        <f>IF(AND(M146="",N146=""),"",IF(OR(M146="No Hit",N146="No Hit"),"Loss",IF(AND(M146="Hit",N146="Hit"),"Win","Pending")))</f>
        <v/>
      </c>
      <c r="P146" s="28">
        <f>IF(OR(K146="",L146=""),"",IF(K146&gt;0,L146*(K146/100),L146*(100/(-K146))))</f>
        <v/>
      </c>
      <c r="Q146" s="29">
        <f>IF(O146="Win",P146,IF(O146="Loss",-L146,""))</f>
        <v/>
      </c>
      <c r="R146" s="29">
        <f>IF(Q146="","",SUM($Q$2:Q146))</f>
        <v/>
      </c>
      <c r="S146" s="25" t="n"/>
    </row>
    <row r="147">
      <c r="A147" s="24" t="n"/>
      <c r="B147" s="25" t="n"/>
      <c r="C147" s="27" t="n"/>
      <c r="D147" s="26" t="n"/>
      <c r="E147" s="27" t="n"/>
      <c r="F147" s="25" t="n"/>
      <c r="G147" s="27" t="n"/>
      <c r="H147" s="26" t="n"/>
      <c r="I147" s="27" t="n"/>
      <c r="J147" s="27" t="n"/>
      <c r="K147" s="27" t="n"/>
      <c r="L147" s="28" t="n"/>
      <c r="M147" s="27" t="n"/>
      <c r="N147" s="27" t="n"/>
      <c r="O147" s="27">
        <f>IF(AND(M147="",N147=""),"",IF(OR(M147="No Hit",N147="No Hit"),"Loss",IF(AND(M147="Hit",N147="Hit"),"Win","Pending")))</f>
        <v/>
      </c>
      <c r="P147" s="28">
        <f>IF(OR(K147="",L147=""),"",IF(K147&gt;0,L147*(K147/100),L147*(100/(-K147))))</f>
        <v/>
      </c>
      <c r="Q147" s="29">
        <f>IF(O147="Win",P147,IF(O147="Loss",-L147,""))</f>
        <v/>
      </c>
      <c r="R147" s="29">
        <f>IF(Q147="","",SUM($Q$2:Q147))</f>
        <v/>
      </c>
      <c r="S147" s="25" t="n"/>
    </row>
    <row r="148">
      <c r="A148" s="24" t="n"/>
      <c r="B148" s="25" t="n"/>
      <c r="C148" s="27" t="n"/>
      <c r="D148" s="26" t="n"/>
      <c r="E148" s="27" t="n"/>
      <c r="F148" s="25" t="n"/>
      <c r="G148" s="27" t="n"/>
      <c r="H148" s="26" t="n"/>
      <c r="I148" s="27" t="n"/>
      <c r="J148" s="27" t="n"/>
      <c r="K148" s="27" t="n"/>
      <c r="L148" s="28" t="n"/>
      <c r="M148" s="27" t="n"/>
      <c r="N148" s="27" t="n"/>
      <c r="O148" s="27">
        <f>IF(AND(M148="",N148=""),"",IF(OR(M148="No Hit",N148="No Hit"),"Loss",IF(AND(M148="Hit",N148="Hit"),"Win","Pending")))</f>
        <v/>
      </c>
      <c r="P148" s="28">
        <f>IF(OR(K148="",L148=""),"",IF(K148&gt;0,L148*(K148/100),L148*(100/(-K148))))</f>
        <v/>
      </c>
      <c r="Q148" s="29">
        <f>IF(O148="Win",P148,IF(O148="Loss",-L148,""))</f>
        <v/>
      </c>
      <c r="R148" s="29">
        <f>IF(Q148="","",SUM($Q$2:Q148))</f>
        <v/>
      </c>
      <c r="S148" s="25" t="n"/>
    </row>
    <row r="149">
      <c r="A149" s="24" t="n"/>
      <c r="B149" s="25" t="n"/>
      <c r="C149" s="27" t="n"/>
      <c r="D149" s="26" t="n"/>
      <c r="E149" s="27" t="n"/>
      <c r="F149" s="25" t="n"/>
      <c r="G149" s="27" t="n"/>
      <c r="H149" s="26" t="n"/>
      <c r="I149" s="27" t="n"/>
      <c r="J149" s="27" t="n"/>
      <c r="K149" s="27" t="n"/>
      <c r="L149" s="28" t="n"/>
      <c r="M149" s="27" t="n"/>
      <c r="N149" s="27" t="n"/>
      <c r="O149" s="27">
        <f>IF(AND(M149="",N149=""),"",IF(OR(M149="No Hit",N149="No Hit"),"Loss",IF(AND(M149="Hit",N149="Hit"),"Win","Pending")))</f>
        <v/>
      </c>
      <c r="P149" s="28">
        <f>IF(OR(K149="",L149=""),"",IF(K149&gt;0,L149*(K149/100),L149*(100/(-K149))))</f>
        <v/>
      </c>
      <c r="Q149" s="29">
        <f>IF(O149="Win",P149,IF(O149="Loss",-L149,""))</f>
        <v/>
      </c>
      <c r="R149" s="29">
        <f>IF(Q149="","",SUM($Q$2:Q149))</f>
        <v/>
      </c>
      <c r="S149" s="25" t="n"/>
    </row>
    <row r="150">
      <c r="A150" s="24" t="n"/>
      <c r="B150" s="25" t="n"/>
      <c r="C150" s="27" t="n"/>
      <c r="D150" s="26" t="n"/>
      <c r="E150" s="27" t="n"/>
      <c r="F150" s="25" t="n"/>
      <c r="G150" s="27" t="n"/>
      <c r="H150" s="26" t="n"/>
      <c r="I150" s="27" t="n"/>
      <c r="J150" s="27" t="n"/>
      <c r="K150" s="27" t="n"/>
      <c r="L150" s="28" t="n"/>
      <c r="M150" s="27" t="n"/>
      <c r="N150" s="27" t="n"/>
      <c r="O150" s="27">
        <f>IF(AND(M150="",N150=""),"",IF(OR(M150="No Hit",N150="No Hit"),"Loss",IF(AND(M150="Hit",N150="Hit"),"Win","Pending")))</f>
        <v/>
      </c>
      <c r="P150" s="28">
        <f>IF(OR(K150="",L150=""),"",IF(K150&gt;0,L150*(K150/100),L150*(100/(-K150))))</f>
        <v/>
      </c>
      <c r="Q150" s="29">
        <f>IF(O150="Win",P150,IF(O150="Loss",-L150,""))</f>
        <v/>
      </c>
      <c r="R150" s="29">
        <f>IF(Q150="","",SUM($Q$2:Q150))</f>
        <v/>
      </c>
      <c r="S150" s="25" t="n"/>
    </row>
    <row r="151">
      <c r="A151" s="24" t="n"/>
      <c r="B151" s="25" t="n"/>
      <c r="C151" s="27" t="n"/>
      <c r="D151" s="26" t="n"/>
      <c r="E151" s="27" t="n"/>
      <c r="F151" s="25" t="n"/>
      <c r="G151" s="27" t="n"/>
      <c r="H151" s="26" t="n"/>
      <c r="I151" s="27" t="n"/>
      <c r="J151" s="27" t="n"/>
      <c r="K151" s="27" t="n"/>
      <c r="L151" s="28" t="n"/>
      <c r="M151" s="27" t="n"/>
      <c r="N151" s="27" t="n"/>
      <c r="O151" s="27">
        <f>IF(AND(M151="",N151=""),"",IF(OR(M151="No Hit",N151="No Hit"),"Loss",IF(AND(M151="Hit",N151="Hit"),"Win","Pending")))</f>
        <v/>
      </c>
      <c r="P151" s="28">
        <f>IF(OR(K151="",L151=""),"",IF(K151&gt;0,L151*(K151/100),L151*(100/(-K151))))</f>
        <v/>
      </c>
      <c r="Q151" s="29">
        <f>IF(O151="Win",P151,IF(O151="Loss",-L151,""))</f>
        <v/>
      </c>
      <c r="R151" s="29">
        <f>IF(Q151="","",SUM($Q$2:Q151))</f>
        <v/>
      </c>
      <c r="S151" s="25" t="n"/>
    </row>
    <row r="152">
      <c r="A152" s="24" t="n"/>
      <c r="B152" s="25" t="n"/>
      <c r="C152" s="27" t="n"/>
      <c r="D152" s="26" t="n"/>
      <c r="E152" s="27" t="n"/>
      <c r="F152" s="25" t="n"/>
      <c r="G152" s="27" t="n"/>
      <c r="H152" s="26" t="n"/>
      <c r="I152" s="27" t="n"/>
      <c r="J152" s="27" t="n"/>
      <c r="K152" s="27" t="n"/>
      <c r="L152" s="28" t="n"/>
      <c r="M152" s="27" t="n"/>
      <c r="N152" s="27" t="n"/>
      <c r="O152" s="27">
        <f>IF(AND(M152="",N152=""),"",IF(OR(M152="No Hit",N152="No Hit"),"Loss",IF(AND(M152="Hit",N152="Hit"),"Win","Pending")))</f>
        <v/>
      </c>
      <c r="P152" s="28">
        <f>IF(OR(K152="",L152=""),"",IF(K152&gt;0,L152*(K152/100),L152*(100/(-K152))))</f>
        <v/>
      </c>
      <c r="Q152" s="29">
        <f>IF(O152="Win",P152,IF(O152="Loss",-L152,""))</f>
        <v/>
      </c>
      <c r="R152" s="29">
        <f>IF(Q152="","",SUM($Q$2:Q152))</f>
        <v/>
      </c>
      <c r="S152" s="25" t="n"/>
    </row>
    <row r="153">
      <c r="A153" s="24" t="n"/>
      <c r="B153" s="25" t="n"/>
      <c r="C153" s="27" t="n"/>
      <c r="D153" s="26" t="n"/>
      <c r="E153" s="27" t="n"/>
      <c r="F153" s="25" t="n"/>
      <c r="G153" s="27" t="n"/>
      <c r="H153" s="26" t="n"/>
      <c r="I153" s="27" t="n"/>
      <c r="J153" s="27" t="n"/>
      <c r="K153" s="27" t="n"/>
      <c r="L153" s="28" t="n"/>
      <c r="M153" s="27" t="n"/>
      <c r="N153" s="27" t="n"/>
      <c r="O153" s="27">
        <f>IF(AND(M153="",N153=""),"",IF(OR(M153="No Hit",N153="No Hit"),"Loss",IF(AND(M153="Hit",N153="Hit"),"Win","Pending")))</f>
        <v/>
      </c>
      <c r="P153" s="28">
        <f>IF(OR(K153="",L153=""),"",IF(K153&gt;0,L153*(K153/100),L153*(100/(-K153))))</f>
        <v/>
      </c>
      <c r="Q153" s="29">
        <f>IF(O153="Win",P153,IF(O153="Loss",-L153,""))</f>
        <v/>
      </c>
      <c r="R153" s="29">
        <f>IF(Q153="","",SUM($Q$2:Q153))</f>
        <v/>
      </c>
      <c r="S153" s="25" t="n"/>
    </row>
    <row r="154">
      <c r="A154" s="24" t="n"/>
      <c r="B154" s="25" t="n"/>
      <c r="C154" s="27" t="n"/>
      <c r="D154" s="26" t="n"/>
      <c r="E154" s="27" t="n"/>
      <c r="F154" s="25" t="n"/>
      <c r="G154" s="27" t="n"/>
      <c r="H154" s="26" t="n"/>
      <c r="I154" s="27" t="n"/>
      <c r="J154" s="27" t="n"/>
      <c r="K154" s="27" t="n"/>
      <c r="L154" s="28" t="n"/>
      <c r="M154" s="27" t="n"/>
      <c r="N154" s="27" t="n"/>
      <c r="O154" s="27">
        <f>IF(AND(M154="",N154=""),"",IF(OR(M154="No Hit",N154="No Hit"),"Loss",IF(AND(M154="Hit",N154="Hit"),"Win","Pending")))</f>
        <v/>
      </c>
      <c r="P154" s="28">
        <f>IF(OR(K154="",L154=""),"",IF(K154&gt;0,L154*(K154/100),L154*(100/(-K154))))</f>
        <v/>
      </c>
      <c r="Q154" s="29">
        <f>IF(O154="Win",P154,IF(O154="Loss",-L154,""))</f>
        <v/>
      </c>
      <c r="R154" s="29">
        <f>IF(Q154="","",SUM($Q$2:Q154))</f>
        <v/>
      </c>
      <c r="S154" s="25" t="n"/>
    </row>
    <row r="155">
      <c r="A155" s="24" t="n"/>
      <c r="B155" s="25" t="n"/>
      <c r="C155" s="27" t="n"/>
      <c r="D155" s="26" t="n"/>
      <c r="E155" s="27" t="n"/>
      <c r="F155" s="25" t="n"/>
      <c r="G155" s="27" t="n"/>
      <c r="H155" s="26" t="n"/>
      <c r="I155" s="27" t="n"/>
      <c r="J155" s="27" t="n"/>
      <c r="K155" s="27" t="n"/>
      <c r="L155" s="28" t="n"/>
      <c r="M155" s="27" t="n"/>
      <c r="N155" s="27" t="n"/>
      <c r="O155" s="27">
        <f>IF(AND(M155="",N155=""),"",IF(OR(M155="No Hit",N155="No Hit"),"Loss",IF(AND(M155="Hit",N155="Hit"),"Win","Pending")))</f>
        <v/>
      </c>
      <c r="P155" s="28">
        <f>IF(OR(K155="",L155=""),"",IF(K155&gt;0,L155*(K155/100),L155*(100/(-K155))))</f>
        <v/>
      </c>
      <c r="Q155" s="29">
        <f>IF(O155="Win",P155,IF(O155="Loss",-L155,""))</f>
        <v/>
      </c>
      <c r="R155" s="29">
        <f>IF(Q155="","",SUM($Q$2:Q155))</f>
        <v/>
      </c>
      <c r="S155" s="25" t="n"/>
    </row>
    <row r="156">
      <c r="A156" s="24" t="n"/>
      <c r="B156" s="25" t="n"/>
      <c r="C156" s="27" t="n"/>
      <c r="D156" s="26" t="n"/>
      <c r="E156" s="27" t="n"/>
      <c r="F156" s="25" t="n"/>
      <c r="G156" s="27" t="n"/>
      <c r="H156" s="26" t="n"/>
      <c r="I156" s="27" t="n"/>
      <c r="J156" s="27" t="n"/>
      <c r="K156" s="27" t="n"/>
      <c r="L156" s="28" t="n"/>
      <c r="M156" s="27" t="n"/>
      <c r="N156" s="27" t="n"/>
      <c r="O156" s="27">
        <f>IF(AND(M156="",N156=""),"",IF(OR(M156="No Hit",N156="No Hit"),"Loss",IF(AND(M156="Hit",N156="Hit"),"Win","Pending")))</f>
        <v/>
      </c>
      <c r="P156" s="28">
        <f>IF(OR(K156="",L156=""),"",IF(K156&gt;0,L156*(K156/100),L156*(100/(-K156))))</f>
        <v/>
      </c>
      <c r="Q156" s="29">
        <f>IF(O156="Win",P156,IF(O156="Loss",-L156,""))</f>
        <v/>
      </c>
      <c r="R156" s="29">
        <f>IF(Q156="","",SUM($Q$2:Q156))</f>
        <v/>
      </c>
      <c r="S156" s="25" t="n"/>
    </row>
    <row r="157">
      <c r="A157" s="24" t="n"/>
      <c r="B157" s="25" t="n"/>
      <c r="C157" s="27" t="n"/>
      <c r="D157" s="26" t="n"/>
      <c r="E157" s="27" t="n"/>
      <c r="F157" s="25" t="n"/>
      <c r="G157" s="27" t="n"/>
      <c r="H157" s="26" t="n"/>
      <c r="I157" s="27" t="n"/>
      <c r="J157" s="27" t="n"/>
      <c r="K157" s="27" t="n"/>
      <c r="L157" s="28" t="n"/>
      <c r="M157" s="27" t="n"/>
      <c r="N157" s="27" t="n"/>
      <c r="O157" s="27">
        <f>IF(AND(M157="",N157=""),"",IF(OR(M157="No Hit",N157="No Hit"),"Loss",IF(AND(M157="Hit",N157="Hit"),"Win","Pending")))</f>
        <v/>
      </c>
      <c r="P157" s="28">
        <f>IF(OR(K157="",L157=""),"",IF(K157&gt;0,L157*(K157/100),L157*(100/(-K157))))</f>
        <v/>
      </c>
      <c r="Q157" s="29">
        <f>IF(O157="Win",P157,IF(O157="Loss",-L157,""))</f>
        <v/>
      </c>
      <c r="R157" s="29">
        <f>IF(Q157="","",SUM($Q$2:Q157))</f>
        <v/>
      </c>
      <c r="S157" s="25" t="n"/>
    </row>
    <row r="158">
      <c r="A158" s="24" t="n"/>
      <c r="B158" s="25" t="n"/>
      <c r="C158" s="27" t="n"/>
      <c r="D158" s="26" t="n"/>
      <c r="E158" s="27" t="n"/>
      <c r="F158" s="25" t="n"/>
      <c r="G158" s="27" t="n"/>
      <c r="H158" s="26" t="n"/>
      <c r="I158" s="27" t="n"/>
      <c r="J158" s="27" t="n"/>
      <c r="K158" s="27" t="n"/>
      <c r="L158" s="28" t="n"/>
      <c r="M158" s="27" t="n"/>
      <c r="N158" s="27" t="n"/>
      <c r="O158" s="27">
        <f>IF(AND(M158="",N158=""),"",IF(OR(M158="No Hit",N158="No Hit"),"Loss",IF(AND(M158="Hit",N158="Hit"),"Win","Pending")))</f>
        <v/>
      </c>
      <c r="P158" s="28">
        <f>IF(OR(K158="",L158=""),"",IF(K158&gt;0,L158*(K158/100),L158*(100/(-K158))))</f>
        <v/>
      </c>
      <c r="Q158" s="29">
        <f>IF(O158="Win",P158,IF(O158="Loss",-L158,""))</f>
        <v/>
      </c>
      <c r="R158" s="29">
        <f>IF(Q158="","",SUM($Q$2:Q158))</f>
        <v/>
      </c>
      <c r="S158" s="25" t="n"/>
    </row>
    <row r="159">
      <c r="A159" s="24" t="n"/>
      <c r="B159" s="25" t="n"/>
      <c r="C159" s="27" t="n"/>
      <c r="D159" s="26" t="n"/>
      <c r="E159" s="27" t="n"/>
      <c r="F159" s="25" t="n"/>
      <c r="G159" s="27" t="n"/>
      <c r="H159" s="26" t="n"/>
      <c r="I159" s="27" t="n"/>
      <c r="J159" s="27" t="n"/>
      <c r="K159" s="27" t="n"/>
      <c r="L159" s="28" t="n"/>
      <c r="M159" s="27" t="n"/>
      <c r="N159" s="27" t="n"/>
      <c r="O159" s="27">
        <f>IF(AND(M159="",N159=""),"",IF(OR(M159="No Hit",N159="No Hit"),"Loss",IF(AND(M159="Hit",N159="Hit"),"Win","Pending")))</f>
        <v/>
      </c>
      <c r="P159" s="28">
        <f>IF(OR(K159="",L159=""),"",IF(K159&gt;0,L159*(K159/100),L159*(100/(-K159))))</f>
        <v/>
      </c>
      <c r="Q159" s="29">
        <f>IF(O159="Win",P159,IF(O159="Loss",-L159,""))</f>
        <v/>
      </c>
      <c r="R159" s="29">
        <f>IF(Q159="","",SUM($Q$2:Q159))</f>
        <v/>
      </c>
      <c r="S159" s="25" t="n"/>
    </row>
    <row r="160">
      <c r="A160" s="24" t="n"/>
      <c r="B160" s="25" t="n"/>
      <c r="C160" s="27" t="n"/>
      <c r="D160" s="26" t="n"/>
      <c r="E160" s="27" t="n"/>
      <c r="F160" s="25" t="n"/>
      <c r="G160" s="27" t="n"/>
      <c r="H160" s="26" t="n"/>
      <c r="I160" s="27" t="n"/>
      <c r="J160" s="27" t="n"/>
      <c r="K160" s="27" t="n"/>
      <c r="L160" s="28" t="n"/>
      <c r="M160" s="27" t="n"/>
      <c r="N160" s="27" t="n"/>
      <c r="O160" s="27">
        <f>IF(AND(M160="",N160=""),"",IF(OR(M160="No Hit",N160="No Hit"),"Loss",IF(AND(M160="Hit",N160="Hit"),"Win","Pending")))</f>
        <v/>
      </c>
      <c r="P160" s="28">
        <f>IF(OR(K160="",L160=""),"",IF(K160&gt;0,L160*(K160/100),L160*(100/(-K160))))</f>
        <v/>
      </c>
      <c r="Q160" s="29">
        <f>IF(O160="Win",P160,IF(O160="Loss",-L160,""))</f>
        <v/>
      </c>
      <c r="R160" s="29">
        <f>IF(Q160="","",SUM($Q$2:Q160))</f>
        <v/>
      </c>
      <c r="S160" s="25" t="n"/>
    </row>
    <row r="161">
      <c r="A161" s="24" t="n"/>
      <c r="B161" s="25" t="n"/>
      <c r="C161" s="27" t="n"/>
      <c r="D161" s="26" t="n"/>
      <c r="E161" s="27" t="n"/>
      <c r="F161" s="25" t="n"/>
      <c r="G161" s="27" t="n"/>
      <c r="H161" s="26" t="n"/>
      <c r="I161" s="27" t="n"/>
      <c r="J161" s="27" t="n"/>
      <c r="K161" s="27" t="n"/>
      <c r="L161" s="28" t="n"/>
      <c r="M161" s="27" t="n"/>
      <c r="N161" s="27" t="n"/>
      <c r="O161" s="27">
        <f>IF(AND(M161="",N161=""),"",IF(OR(M161="No Hit",N161="No Hit"),"Loss",IF(AND(M161="Hit",N161="Hit"),"Win","Pending")))</f>
        <v/>
      </c>
      <c r="P161" s="28">
        <f>IF(OR(K161="",L161=""),"",IF(K161&gt;0,L161*(K161/100),L161*(100/(-K161))))</f>
        <v/>
      </c>
      <c r="Q161" s="29">
        <f>IF(O161="Win",P161,IF(O161="Loss",-L161,""))</f>
        <v/>
      </c>
      <c r="R161" s="29">
        <f>IF(Q161="","",SUM($Q$2:Q161))</f>
        <v/>
      </c>
      <c r="S161" s="25" t="n"/>
    </row>
    <row r="162">
      <c r="A162" s="24" t="n"/>
      <c r="B162" s="25" t="n"/>
      <c r="C162" s="27" t="n"/>
      <c r="D162" s="26" t="n"/>
      <c r="E162" s="27" t="n"/>
      <c r="F162" s="25" t="n"/>
      <c r="G162" s="27" t="n"/>
      <c r="H162" s="26" t="n"/>
      <c r="I162" s="27" t="n"/>
      <c r="J162" s="27" t="n"/>
      <c r="K162" s="27" t="n"/>
      <c r="L162" s="28" t="n"/>
      <c r="M162" s="27" t="n"/>
      <c r="N162" s="27" t="n"/>
      <c r="O162" s="27">
        <f>IF(AND(M162="",N162=""),"",IF(OR(M162="No Hit",N162="No Hit"),"Loss",IF(AND(M162="Hit",N162="Hit"),"Win","Pending")))</f>
        <v/>
      </c>
      <c r="P162" s="28">
        <f>IF(OR(K162="",L162=""),"",IF(K162&gt;0,L162*(K162/100),L162*(100/(-K162))))</f>
        <v/>
      </c>
      <c r="Q162" s="29">
        <f>IF(O162="Win",P162,IF(O162="Loss",-L162,""))</f>
        <v/>
      </c>
      <c r="R162" s="29">
        <f>IF(Q162="","",SUM($Q$2:Q162))</f>
        <v/>
      </c>
      <c r="S162" s="25" t="n"/>
    </row>
    <row r="163">
      <c r="A163" s="24" t="n"/>
      <c r="B163" s="25" t="n"/>
      <c r="C163" s="27" t="n"/>
      <c r="D163" s="26" t="n"/>
      <c r="E163" s="27" t="n"/>
      <c r="F163" s="25" t="n"/>
      <c r="G163" s="27" t="n"/>
      <c r="H163" s="26" t="n"/>
      <c r="I163" s="27" t="n"/>
      <c r="J163" s="27" t="n"/>
      <c r="K163" s="27" t="n"/>
      <c r="L163" s="28" t="n"/>
      <c r="M163" s="27" t="n"/>
      <c r="N163" s="27" t="n"/>
      <c r="O163" s="27">
        <f>IF(AND(M163="",N163=""),"",IF(OR(M163="No Hit",N163="No Hit"),"Loss",IF(AND(M163="Hit",N163="Hit"),"Win","Pending")))</f>
        <v/>
      </c>
      <c r="P163" s="28">
        <f>IF(OR(K163="",L163=""),"",IF(K163&gt;0,L163*(K163/100),L163*(100/(-K163))))</f>
        <v/>
      </c>
      <c r="Q163" s="29">
        <f>IF(O163="Win",P163,IF(O163="Loss",-L163,""))</f>
        <v/>
      </c>
      <c r="R163" s="29">
        <f>IF(Q163="","",SUM($Q$2:Q163))</f>
        <v/>
      </c>
      <c r="S163" s="25" t="n"/>
    </row>
    <row r="164">
      <c r="A164" s="24" t="n"/>
      <c r="B164" s="25" t="n"/>
      <c r="C164" s="27" t="n"/>
      <c r="D164" s="26" t="n"/>
      <c r="E164" s="27" t="n"/>
      <c r="F164" s="25" t="n"/>
      <c r="G164" s="27" t="n"/>
      <c r="H164" s="26" t="n"/>
      <c r="I164" s="27" t="n"/>
      <c r="J164" s="27" t="n"/>
      <c r="K164" s="27" t="n"/>
      <c r="L164" s="28" t="n"/>
      <c r="M164" s="27" t="n"/>
      <c r="N164" s="27" t="n"/>
      <c r="O164" s="27">
        <f>IF(AND(M164="",N164=""),"",IF(OR(M164="No Hit",N164="No Hit"),"Loss",IF(AND(M164="Hit",N164="Hit"),"Win","Pending")))</f>
        <v/>
      </c>
      <c r="P164" s="28">
        <f>IF(OR(K164="",L164=""),"",IF(K164&gt;0,L164*(K164/100),L164*(100/(-K164))))</f>
        <v/>
      </c>
      <c r="Q164" s="29">
        <f>IF(O164="Win",P164,IF(O164="Loss",-L164,""))</f>
        <v/>
      </c>
      <c r="R164" s="29">
        <f>IF(Q164="","",SUM($Q$2:Q164))</f>
        <v/>
      </c>
      <c r="S164" s="25" t="n"/>
    </row>
    <row r="165">
      <c r="A165" s="24" t="n"/>
      <c r="B165" s="25" t="n"/>
      <c r="C165" s="27" t="n"/>
      <c r="D165" s="26" t="n"/>
      <c r="E165" s="27" t="n"/>
      <c r="F165" s="25" t="n"/>
      <c r="G165" s="27" t="n"/>
      <c r="H165" s="26" t="n"/>
      <c r="I165" s="27" t="n"/>
      <c r="J165" s="27" t="n"/>
      <c r="K165" s="27" t="n"/>
      <c r="L165" s="28" t="n"/>
      <c r="M165" s="27" t="n"/>
      <c r="N165" s="27" t="n"/>
      <c r="O165" s="27">
        <f>IF(AND(M165="",N165=""),"",IF(OR(M165="No Hit",N165="No Hit"),"Loss",IF(AND(M165="Hit",N165="Hit"),"Win","Pending")))</f>
        <v/>
      </c>
      <c r="P165" s="28">
        <f>IF(OR(K165="",L165=""),"",IF(K165&gt;0,L165*(K165/100),L165*(100/(-K165))))</f>
        <v/>
      </c>
      <c r="Q165" s="29">
        <f>IF(O165="Win",P165,IF(O165="Loss",-L165,""))</f>
        <v/>
      </c>
      <c r="R165" s="29">
        <f>IF(Q165="","",SUM($Q$2:Q165))</f>
        <v/>
      </c>
      <c r="S165" s="25" t="n"/>
    </row>
    <row r="166">
      <c r="A166" s="24" t="n"/>
      <c r="B166" s="25" t="n"/>
      <c r="C166" s="27" t="n"/>
      <c r="D166" s="26" t="n"/>
      <c r="E166" s="27" t="n"/>
      <c r="F166" s="25" t="n"/>
      <c r="G166" s="27" t="n"/>
      <c r="H166" s="26" t="n"/>
      <c r="I166" s="27" t="n"/>
      <c r="J166" s="27" t="n"/>
      <c r="K166" s="27" t="n"/>
      <c r="L166" s="28" t="n"/>
      <c r="M166" s="27" t="n"/>
      <c r="N166" s="27" t="n"/>
      <c r="O166" s="27">
        <f>IF(AND(M166="",N166=""),"",IF(OR(M166="No Hit",N166="No Hit"),"Loss",IF(AND(M166="Hit",N166="Hit"),"Win","Pending")))</f>
        <v/>
      </c>
      <c r="P166" s="28">
        <f>IF(OR(K166="",L166=""),"",IF(K166&gt;0,L166*(K166/100),L166*(100/(-K166))))</f>
        <v/>
      </c>
      <c r="Q166" s="29">
        <f>IF(O166="Win",P166,IF(O166="Loss",-L166,""))</f>
        <v/>
      </c>
      <c r="R166" s="29">
        <f>IF(Q166="","",SUM($Q$2:Q166))</f>
        <v/>
      </c>
      <c r="S166" s="25" t="n"/>
    </row>
    <row r="167">
      <c r="A167" s="24" t="n"/>
      <c r="B167" s="25" t="n"/>
      <c r="C167" s="27" t="n"/>
      <c r="D167" s="26" t="n"/>
      <c r="E167" s="27" t="n"/>
      <c r="F167" s="25" t="n"/>
      <c r="G167" s="27" t="n"/>
      <c r="H167" s="26" t="n"/>
      <c r="I167" s="27" t="n"/>
      <c r="J167" s="27" t="n"/>
      <c r="K167" s="27" t="n"/>
      <c r="L167" s="28" t="n"/>
      <c r="M167" s="27" t="n"/>
      <c r="N167" s="27" t="n"/>
      <c r="O167" s="27">
        <f>IF(AND(M167="",N167=""),"",IF(OR(M167="No Hit",N167="No Hit"),"Loss",IF(AND(M167="Hit",N167="Hit"),"Win","Pending")))</f>
        <v/>
      </c>
      <c r="P167" s="28">
        <f>IF(OR(K167="",L167=""),"",IF(K167&gt;0,L167*(K167/100),L167*(100/(-K167))))</f>
        <v/>
      </c>
      <c r="Q167" s="29">
        <f>IF(O167="Win",P167,IF(O167="Loss",-L167,""))</f>
        <v/>
      </c>
      <c r="R167" s="29">
        <f>IF(Q167="","",SUM($Q$2:Q167))</f>
        <v/>
      </c>
      <c r="S167" s="25" t="n"/>
    </row>
    <row r="168">
      <c r="A168" s="24" t="n"/>
      <c r="B168" s="25" t="n"/>
      <c r="C168" s="27" t="n"/>
      <c r="D168" s="26" t="n"/>
      <c r="E168" s="27" t="n"/>
      <c r="F168" s="25" t="n"/>
      <c r="G168" s="27" t="n"/>
      <c r="H168" s="26" t="n"/>
      <c r="I168" s="27" t="n"/>
      <c r="J168" s="27" t="n"/>
      <c r="K168" s="27" t="n"/>
      <c r="L168" s="28" t="n"/>
      <c r="M168" s="27" t="n"/>
      <c r="N168" s="27" t="n"/>
      <c r="O168" s="27">
        <f>IF(AND(M168="",N168=""),"",IF(OR(M168="No Hit",N168="No Hit"),"Loss",IF(AND(M168="Hit",N168="Hit"),"Win","Pending")))</f>
        <v/>
      </c>
      <c r="P168" s="28">
        <f>IF(OR(K168="",L168=""),"",IF(K168&gt;0,L168*(K168/100),L168*(100/(-K168))))</f>
        <v/>
      </c>
      <c r="Q168" s="29">
        <f>IF(O168="Win",P168,IF(O168="Loss",-L168,""))</f>
        <v/>
      </c>
      <c r="R168" s="29">
        <f>IF(Q168="","",SUM($Q$2:Q168))</f>
        <v/>
      </c>
      <c r="S168" s="25" t="n"/>
    </row>
    <row r="169">
      <c r="A169" s="24" t="n"/>
      <c r="B169" s="25" t="n"/>
      <c r="C169" s="27" t="n"/>
      <c r="D169" s="26" t="n"/>
      <c r="E169" s="27" t="n"/>
      <c r="F169" s="25" t="n"/>
      <c r="G169" s="27" t="n"/>
      <c r="H169" s="26" t="n"/>
      <c r="I169" s="27" t="n"/>
      <c r="J169" s="27" t="n"/>
      <c r="K169" s="27" t="n"/>
      <c r="L169" s="28" t="n"/>
      <c r="M169" s="27" t="n"/>
      <c r="N169" s="27" t="n"/>
      <c r="O169" s="27">
        <f>IF(AND(M169="",N169=""),"",IF(OR(M169="No Hit",N169="No Hit"),"Loss",IF(AND(M169="Hit",N169="Hit"),"Win","Pending")))</f>
        <v/>
      </c>
      <c r="P169" s="28">
        <f>IF(OR(K169="",L169=""),"",IF(K169&gt;0,L169*(K169/100),L169*(100/(-K169))))</f>
        <v/>
      </c>
      <c r="Q169" s="29">
        <f>IF(O169="Win",P169,IF(O169="Loss",-L169,""))</f>
        <v/>
      </c>
      <c r="R169" s="29">
        <f>IF(Q169="","",SUM($Q$2:Q169))</f>
        <v/>
      </c>
      <c r="S169" s="25" t="n"/>
    </row>
    <row r="170">
      <c r="A170" s="24" t="n"/>
      <c r="B170" s="25" t="n"/>
      <c r="C170" s="27" t="n"/>
      <c r="D170" s="26" t="n"/>
      <c r="E170" s="27" t="n"/>
      <c r="F170" s="25" t="n"/>
      <c r="G170" s="27" t="n"/>
      <c r="H170" s="26" t="n"/>
      <c r="I170" s="27" t="n"/>
      <c r="J170" s="27" t="n"/>
      <c r="K170" s="27" t="n"/>
      <c r="L170" s="28" t="n"/>
      <c r="M170" s="27" t="n"/>
      <c r="N170" s="27" t="n"/>
      <c r="O170" s="27">
        <f>IF(AND(M170="",N170=""),"",IF(OR(M170="No Hit",N170="No Hit"),"Loss",IF(AND(M170="Hit",N170="Hit"),"Win","Pending")))</f>
        <v/>
      </c>
      <c r="P170" s="28">
        <f>IF(OR(K170="",L170=""),"",IF(K170&gt;0,L170*(K170/100),L170*(100/(-K170))))</f>
        <v/>
      </c>
      <c r="Q170" s="29">
        <f>IF(O170="Win",P170,IF(O170="Loss",-L170,""))</f>
        <v/>
      </c>
      <c r="R170" s="29">
        <f>IF(Q170="","",SUM($Q$2:Q170))</f>
        <v/>
      </c>
      <c r="S170" s="25" t="n"/>
    </row>
    <row r="171">
      <c r="A171" s="24" t="n"/>
      <c r="B171" s="25" t="n"/>
      <c r="C171" s="27" t="n"/>
      <c r="D171" s="26" t="n"/>
      <c r="E171" s="27" t="n"/>
      <c r="F171" s="25" t="n"/>
      <c r="G171" s="27" t="n"/>
      <c r="H171" s="26" t="n"/>
      <c r="I171" s="27" t="n"/>
      <c r="J171" s="27" t="n"/>
      <c r="K171" s="27" t="n"/>
      <c r="L171" s="28" t="n"/>
      <c r="M171" s="27" t="n"/>
      <c r="N171" s="27" t="n"/>
      <c r="O171" s="27">
        <f>IF(AND(M171="",N171=""),"",IF(OR(M171="No Hit",N171="No Hit"),"Loss",IF(AND(M171="Hit",N171="Hit"),"Win","Pending")))</f>
        <v/>
      </c>
      <c r="P171" s="28">
        <f>IF(OR(K171="",L171=""),"",IF(K171&gt;0,L171*(K171/100),L171*(100/(-K171))))</f>
        <v/>
      </c>
      <c r="Q171" s="29">
        <f>IF(O171="Win",P171,IF(O171="Loss",-L171,""))</f>
        <v/>
      </c>
      <c r="R171" s="29">
        <f>IF(Q171="","",SUM($Q$2:Q171))</f>
        <v/>
      </c>
      <c r="S171" s="25" t="n"/>
    </row>
    <row r="172">
      <c r="A172" s="24" t="n"/>
      <c r="B172" s="25" t="n"/>
      <c r="C172" s="27" t="n"/>
      <c r="D172" s="26" t="n"/>
      <c r="E172" s="27" t="n"/>
      <c r="F172" s="25" t="n"/>
      <c r="G172" s="27" t="n"/>
      <c r="H172" s="26" t="n"/>
      <c r="I172" s="27" t="n"/>
      <c r="J172" s="27" t="n"/>
      <c r="K172" s="27" t="n"/>
      <c r="L172" s="28" t="n"/>
      <c r="M172" s="27" t="n"/>
      <c r="N172" s="27" t="n"/>
      <c r="O172" s="27">
        <f>IF(AND(M172="",N172=""),"",IF(OR(M172="No Hit",N172="No Hit"),"Loss",IF(AND(M172="Hit",N172="Hit"),"Win","Pending")))</f>
        <v/>
      </c>
      <c r="P172" s="28">
        <f>IF(OR(K172="",L172=""),"",IF(K172&gt;0,L172*(K172/100),L172*(100/(-K172))))</f>
        <v/>
      </c>
      <c r="Q172" s="29">
        <f>IF(O172="Win",P172,IF(O172="Loss",-L172,""))</f>
        <v/>
      </c>
      <c r="R172" s="29">
        <f>IF(Q172="","",SUM($Q$2:Q172))</f>
        <v/>
      </c>
      <c r="S172" s="25" t="n"/>
    </row>
    <row r="173">
      <c r="A173" s="24" t="n"/>
      <c r="B173" s="25" t="n"/>
      <c r="C173" s="27" t="n"/>
      <c r="D173" s="26" t="n"/>
      <c r="E173" s="27" t="n"/>
      <c r="F173" s="25" t="n"/>
      <c r="G173" s="27" t="n"/>
      <c r="H173" s="26" t="n"/>
      <c r="I173" s="27" t="n"/>
      <c r="J173" s="27" t="n"/>
      <c r="K173" s="27" t="n"/>
      <c r="L173" s="28" t="n"/>
      <c r="M173" s="27" t="n"/>
      <c r="N173" s="27" t="n"/>
      <c r="O173" s="27">
        <f>IF(AND(M173="",N173=""),"",IF(OR(M173="No Hit",N173="No Hit"),"Loss",IF(AND(M173="Hit",N173="Hit"),"Win","Pending")))</f>
        <v/>
      </c>
      <c r="P173" s="28">
        <f>IF(OR(K173="",L173=""),"",IF(K173&gt;0,L173*(K173/100),L173*(100/(-K173))))</f>
        <v/>
      </c>
      <c r="Q173" s="29">
        <f>IF(O173="Win",P173,IF(O173="Loss",-L173,""))</f>
        <v/>
      </c>
      <c r="R173" s="29">
        <f>IF(Q173="","",SUM($Q$2:Q173))</f>
        <v/>
      </c>
      <c r="S173" s="25" t="n"/>
    </row>
    <row r="174">
      <c r="A174" s="24" t="n"/>
      <c r="B174" s="25" t="n"/>
      <c r="C174" s="27" t="n"/>
      <c r="D174" s="26" t="n"/>
      <c r="E174" s="27" t="n"/>
      <c r="F174" s="25" t="n"/>
      <c r="G174" s="27" t="n"/>
      <c r="H174" s="26" t="n"/>
      <c r="I174" s="27" t="n"/>
      <c r="J174" s="27" t="n"/>
      <c r="K174" s="27" t="n"/>
      <c r="L174" s="28" t="n"/>
      <c r="M174" s="27" t="n"/>
      <c r="N174" s="27" t="n"/>
      <c r="O174" s="27">
        <f>IF(AND(M174="",N174=""),"",IF(OR(M174="No Hit",N174="No Hit"),"Loss",IF(AND(M174="Hit",N174="Hit"),"Win","Pending")))</f>
        <v/>
      </c>
      <c r="P174" s="28">
        <f>IF(OR(K174="",L174=""),"",IF(K174&gt;0,L174*(K174/100),L174*(100/(-K174))))</f>
        <v/>
      </c>
      <c r="Q174" s="29">
        <f>IF(O174="Win",P174,IF(O174="Loss",-L174,""))</f>
        <v/>
      </c>
      <c r="R174" s="29">
        <f>IF(Q174="","",SUM($Q$2:Q174))</f>
        <v/>
      </c>
      <c r="S174" s="25" t="n"/>
    </row>
    <row r="175">
      <c r="A175" s="24" t="n"/>
      <c r="B175" s="25" t="n"/>
      <c r="C175" s="27" t="n"/>
      <c r="D175" s="26" t="n"/>
      <c r="E175" s="27" t="n"/>
      <c r="F175" s="25" t="n"/>
      <c r="G175" s="27" t="n"/>
      <c r="H175" s="26" t="n"/>
      <c r="I175" s="27" t="n"/>
      <c r="J175" s="27" t="n"/>
      <c r="K175" s="27" t="n"/>
      <c r="L175" s="28" t="n"/>
      <c r="M175" s="27" t="n"/>
      <c r="N175" s="27" t="n"/>
      <c r="O175" s="27">
        <f>IF(AND(M175="",N175=""),"",IF(OR(M175="No Hit",N175="No Hit"),"Loss",IF(AND(M175="Hit",N175="Hit"),"Win","Pending")))</f>
        <v/>
      </c>
      <c r="P175" s="28">
        <f>IF(OR(K175="",L175=""),"",IF(K175&gt;0,L175*(K175/100),L175*(100/(-K175))))</f>
        <v/>
      </c>
      <c r="Q175" s="29">
        <f>IF(O175="Win",P175,IF(O175="Loss",-L175,""))</f>
        <v/>
      </c>
      <c r="R175" s="29">
        <f>IF(Q175="","",SUM($Q$2:Q175))</f>
        <v/>
      </c>
      <c r="S175" s="25" t="n"/>
    </row>
    <row r="176">
      <c r="A176" s="24" t="n"/>
      <c r="B176" s="25" t="n"/>
      <c r="C176" s="27" t="n"/>
      <c r="D176" s="26" t="n"/>
      <c r="E176" s="27" t="n"/>
      <c r="F176" s="25" t="n"/>
      <c r="G176" s="27" t="n"/>
      <c r="H176" s="26" t="n"/>
      <c r="I176" s="27" t="n"/>
      <c r="J176" s="27" t="n"/>
      <c r="K176" s="27" t="n"/>
      <c r="L176" s="28" t="n"/>
      <c r="M176" s="27" t="n"/>
      <c r="N176" s="27" t="n"/>
      <c r="O176" s="27">
        <f>IF(AND(M176="",N176=""),"",IF(OR(M176="No Hit",N176="No Hit"),"Loss",IF(AND(M176="Hit",N176="Hit"),"Win","Pending")))</f>
        <v/>
      </c>
      <c r="P176" s="28">
        <f>IF(OR(K176="",L176=""),"",IF(K176&gt;0,L176*(K176/100),L176*(100/(-K176))))</f>
        <v/>
      </c>
      <c r="Q176" s="29">
        <f>IF(O176="Win",P176,IF(O176="Loss",-L176,""))</f>
        <v/>
      </c>
      <c r="R176" s="29">
        <f>IF(Q176="","",SUM($Q$2:Q176))</f>
        <v/>
      </c>
      <c r="S176" s="25" t="n"/>
    </row>
    <row r="177">
      <c r="A177" s="24" t="n"/>
      <c r="B177" s="25" t="n"/>
      <c r="C177" s="27" t="n"/>
      <c r="D177" s="26" t="n"/>
      <c r="E177" s="27" t="n"/>
      <c r="F177" s="25" t="n"/>
      <c r="G177" s="27" t="n"/>
      <c r="H177" s="26" t="n"/>
      <c r="I177" s="27" t="n"/>
      <c r="J177" s="27" t="n"/>
      <c r="K177" s="27" t="n"/>
      <c r="L177" s="28" t="n"/>
      <c r="M177" s="27" t="n"/>
      <c r="N177" s="27" t="n"/>
      <c r="O177" s="27">
        <f>IF(AND(M177="",N177=""),"",IF(OR(M177="No Hit",N177="No Hit"),"Loss",IF(AND(M177="Hit",N177="Hit"),"Win","Pending")))</f>
        <v/>
      </c>
      <c r="P177" s="28">
        <f>IF(OR(K177="",L177=""),"",IF(K177&gt;0,L177*(K177/100),L177*(100/(-K177))))</f>
        <v/>
      </c>
      <c r="Q177" s="29">
        <f>IF(O177="Win",P177,IF(O177="Loss",-L177,""))</f>
        <v/>
      </c>
      <c r="R177" s="29">
        <f>IF(Q177="","",SUM($Q$2:Q177))</f>
        <v/>
      </c>
      <c r="S177" s="25" t="n"/>
    </row>
    <row r="178">
      <c r="A178" s="24" t="n"/>
      <c r="B178" s="25" t="n"/>
      <c r="C178" s="27" t="n"/>
      <c r="D178" s="26" t="n"/>
      <c r="E178" s="27" t="n"/>
      <c r="F178" s="25" t="n"/>
      <c r="G178" s="27" t="n"/>
      <c r="H178" s="26" t="n"/>
      <c r="I178" s="27" t="n"/>
      <c r="J178" s="27" t="n"/>
      <c r="K178" s="27" t="n"/>
      <c r="L178" s="28" t="n"/>
      <c r="M178" s="27" t="n"/>
      <c r="N178" s="27" t="n"/>
      <c r="O178" s="27">
        <f>IF(AND(M178="",N178=""),"",IF(OR(M178="No Hit",N178="No Hit"),"Loss",IF(AND(M178="Hit",N178="Hit"),"Win","Pending")))</f>
        <v/>
      </c>
      <c r="P178" s="28">
        <f>IF(OR(K178="",L178=""),"",IF(K178&gt;0,L178*(K178/100),L178*(100/(-K178))))</f>
        <v/>
      </c>
      <c r="Q178" s="29">
        <f>IF(O178="Win",P178,IF(O178="Loss",-L178,""))</f>
        <v/>
      </c>
      <c r="R178" s="29">
        <f>IF(Q178="","",SUM($Q$2:Q178))</f>
        <v/>
      </c>
      <c r="S178" s="25" t="n"/>
    </row>
    <row r="179">
      <c r="A179" s="24" t="n"/>
      <c r="B179" s="25" t="n"/>
      <c r="C179" s="27" t="n"/>
      <c r="D179" s="26" t="n"/>
      <c r="E179" s="27" t="n"/>
      <c r="F179" s="25" t="n"/>
      <c r="G179" s="27" t="n"/>
      <c r="H179" s="26" t="n"/>
      <c r="I179" s="27" t="n"/>
      <c r="J179" s="27" t="n"/>
      <c r="K179" s="27" t="n"/>
      <c r="L179" s="28" t="n"/>
      <c r="M179" s="27" t="n"/>
      <c r="N179" s="27" t="n"/>
      <c r="O179" s="27">
        <f>IF(AND(M179="",N179=""),"",IF(OR(M179="No Hit",N179="No Hit"),"Loss",IF(AND(M179="Hit",N179="Hit"),"Win","Pending")))</f>
        <v/>
      </c>
      <c r="P179" s="28">
        <f>IF(OR(K179="",L179=""),"",IF(K179&gt;0,L179*(K179/100),L179*(100/(-K179))))</f>
        <v/>
      </c>
      <c r="Q179" s="29">
        <f>IF(O179="Win",P179,IF(O179="Loss",-L179,""))</f>
        <v/>
      </c>
      <c r="R179" s="29">
        <f>IF(Q179="","",SUM($Q$2:Q179))</f>
        <v/>
      </c>
      <c r="S179" s="25" t="n"/>
    </row>
    <row r="180">
      <c r="A180" s="24" t="n"/>
      <c r="B180" s="25" t="n"/>
      <c r="C180" s="27" t="n"/>
      <c r="D180" s="26" t="n"/>
      <c r="E180" s="27" t="n"/>
      <c r="F180" s="25" t="n"/>
      <c r="G180" s="27" t="n"/>
      <c r="H180" s="26" t="n"/>
      <c r="I180" s="27" t="n"/>
      <c r="J180" s="27" t="n"/>
      <c r="K180" s="27" t="n"/>
      <c r="L180" s="28" t="n"/>
      <c r="M180" s="27" t="n"/>
      <c r="N180" s="27" t="n"/>
      <c r="O180" s="27">
        <f>IF(AND(M180="",N180=""),"",IF(OR(M180="No Hit",N180="No Hit"),"Loss",IF(AND(M180="Hit",N180="Hit"),"Win","Pending")))</f>
        <v/>
      </c>
      <c r="P180" s="28">
        <f>IF(OR(K180="",L180=""),"",IF(K180&gt;0,L180*(K180/100),L180*(100/(-K180))))</f>
        <v/>
      </c>
      <c r="Q180" s="29">
        <f>IF(O180="Win",P180,IF(O180="Loss",-L180,""))</f>
        <v/>
      </c>
      <c r="R180" s="29">
        <f>IF(Q180="","",SUM($Q$2:Q180))</f>
        <v/>
      </c>
      <c r="S180" s="25" t="n"/>
    </row>
    <row r="181">
      <c r="A181" s="24" t="n"/>
      <c r="B181" s="25" t="n"/>
      <c r="C181" s="27" t="n"/>
      <c r="D181" s="26" t="n"/>
      <c r="E181" s="27" t="n"/>
      <c r="F181" s="25" t="n"/>
      <c r="G181" s="27" t="n"/>
      <c r="H181" s="26" t="n"/>
      <c r="I181" s="27" t="n"/>
      <c r="J181" s="27" t="n"/>
      <c r="K181" s="27" t="n"/>
      <c r="L181" s="28" t="n"/>
      <c r="M181" s="27" t="n"/>
      <c r="N181" s="27" t="n"/>
      <c r="O181" s="27">
        <f>IF(AND(M181="",N181=""),"",IF(OR(M181="No Hit",N181="No Hit"),"Loss",IF(AND(M181="Hit",N181="Hit"),"Win","Pending")))</f>
        <v/>
      </c>
      <c r="P181" s="28">
        <f>IF(OR(K181="",L181=""),"",IF(K181&gt;0,L181*(K181/100),L181*(100/(-K181))))</f>
        <v/>
      </c>
      <c r="Q181" s="29">
        <f>IF(O181="Win",P181,IF(O181="Loss",-L181,""))</f>
        <v/>
      </c>
      <c r="R181" s="29">
        <f>IF(Q181="","",SUM($Q$2:Q181))</f>
        <v/>
      </c>
      <c r="S181" s="25" t="n"/>
    </row>
    <row r="182">
      <c r="A182" s="24" t="n"/>
      <c r="B182" s="25" t="n"/>
      <c r="C182" s="27" t="n"/>
      <c r="D182" s="26" t="n"/>
      <c r="E182" s="27" t="n"/>
      <c r="F182" s="25" t="n"/>
      <c r="G182" s="27" t="n"/>
      <c r="H182" s="26" t="n"/>
      <c r="I182" s="27" t="n"/>
      <c r="J182" s="27" t="n"/>
      <c r="K182" s="27" t="n"/>
      <c r="L182" s="28" t="n"/>
      <c r="M182" s="27" t="n"/>
      <c r="N182" s="27" t="n"/>
      <c r="O182" s="27">
        <f>IF(AND(M182="",N182=""),"",IF(OR(M182="No Hit",N182="No Hit"),"Loss",IF(AND(M182="Hit",N182="Hit"),"Win","Pending")))</f>
        <v/>
      </c>
      <c r="P182" s="28">
        <f>IF(OR(K182="",L182=""),"",IF(K182&gt;0,L182*(K182/100),L182*(100/(-K182))))</f>
        <v/>
      </c>
      <c r="Q182" s="29">
        <f>IF(O182="Win",P182,IF(O182="Loss",-L182,""))</f>
        <v/>
      </c>
      <c r="R182" s="29">
        <f>IF(Q182="","",SUM($Q$2:Q182))</f>
        <v/>
      </c>
      <c r="S182" s="25" t="n"/>
    </row>
    <row r="183">
      <c r="A183" s="24" t="n"/>
      <c r="B183" s="25" t="n"/>
      <c r="C183" s="27" t="n"/>
      <c r="D183" s="26" t="n"/>
      <c r="E183" s="27" t="n"/>
      <c r="F183" s="25" t="n"/>
      <c r="G183" s="27" t="n"/>
      <c r="H183" s="26" t="n"/>
      <c r="I183" s="27" t="n"/>
      <c r="J183" s="27" t="n"/>
      <c r="K183" s="27" t="n"/>
      <c r="L183" s="28" t="n"/>
      <c r="M183" s="27" t="n"/>
      <c r="N183" s="27" t="n"/>
      <c r="O183" s="27">
        <f>IF(AND(M183="",N183=""),"",IF(OR(M183="No Hit",N183="No Hit"),"Loss",IF(AND(M183="Hit",N183="Hit"),"Win","Pending")))</f>
        <v/>
      </c>
      <c r="P183" s="28">
        <f>IF(OR(K183="",L183=""),"",IF(K183&gt;0,L183*(K183/100),L183*(100/(-K183))))</f>
        <v/>
      </c>
      <c r="Q183" s="29">
        <f>IF(O183="Win",P183,IF(O183="Loss",-L183,""))</f>
        <v/>
      </c>
      <c r="R183" s="29">
        <f>IF(Q183="","",SUM($Q$2:Q183))</f>
        <v/>
      </c>
      <c r="S183" s="25" t="n"/>
    </row>
    <row r="184">
      <c r="A184" s="24" t="n"/>
      <c r="B184" s="25" t="n"/>
      <c r="C184" s="27" t="n"/>
      <c r="D184" s="26" t="n"/>
      <c r="E184" s="27" t="n"/>
      <c r="F184" s="25" t="n"/>
      <c r="G184" s="27" t="n"/>
      <c r="H184" s="26" t="n"/>
      <c r="I184" s="27" t="n"/>
      <c r="J184" s="27" t="n"/>
      <c r="K184" s="27" t="n"/>
      <c r="L184" s="28" t="n"/>
      <c r="M184" s="27" t="n"/>
      <c r="N184" s="27" t="n"/>
      <c r="O184" s="27">
        <f>IF(AND(M184="",N184=""),"",IF(OR(M184="No Hit",N184="No Hit"),"Loss",IF(AND(M184="Hit",N184="Hit"),"Win","Pending")))</f>
        <v/>
      </c>
      <c r="P184" s="28">
        <f>IF(OR(K184="",L184=""),"",IF(K184&gt;0,L184*(K184/100),L184*(100/(-K184))))</f>
        <v/>
      </c>
      <c r="Q184" s="29">
        <f>IF(O184="Win",P184,IF(O184="Loss",-L184,""))</f>
        <v/>
      </c>
      <c r="R184" s="29">
        <f>IF(Q184="","",SUM($Q$2:Q184))</f>
        <v/>
      </c>
      <c r="S184" s="25" t="n"/>
    </row>
    <row r="185">
      <c r="A185" s="24" t="n"/>
      <c r="B185" s="25" t="n"/>
      <c r="C185" s="27" t="n"/>
      <c r="D185" s="26" t="n"/>
      <c r="E185" s="27" t="n"/>
      <c r="F185" s="25" t="n"/>
      <c r="G185" s="27" t="n"/>
      <c r="H185" s="26" t="n"/>
      <c r="I185" s="27" t="n"/>
      <c r="J185" s="27" t="n"/>
      <c r="K185" s="27" t="n"/>
      <c r="L185" s="28" t="n"/>
      <c r="M185" s="27" t="n"/>
      <c r="N185" s="27" t="n"/>
      <c r="O185" s="27">
        <f>IF(AND(M185="",N185=""),"",IF(OR(M185="No Hit",N185="No Hit"),"Loss",IF(AND(M185="Hit",N185="Hit"),"Win","Pending")))</f>
        <v/>
      </c>
      <c r="P185" s="28">
        <f>IF(OR(K185="",L185=""),"",IF(K185&gt;0,L185*(K185/100),L185*(100/(-K185))))</f>
        <v/>
      </c>
      <c r="Q185" s="29">
        <f>IF(O185="Win",P185,IF(O185="Loss",-L185,""))</f>
        <v/>
      </c>
      <c r="R185" s="29">
        <f>IF(Q185="","",SUM($Q$2:Q185))</f>
        <v/>
      </c>
      <c r="S185" s="25" t="n"/>
    </row>
    <row r="186">
      <c r="A186" s="24" t="n"/>
      <c r="B186" s="25" t="n"/>
      <c r="C186" s="27" t="n"/>
      <c r="D186" s="26" t="n"/>
      <c r="E186" s="27" t="n"/>
      <c r="F186" s="25" t="n"/>
      <c r="G186" s="27" t="n"/>
      <c r="H186" s="26" t="n"/>
      <c r="I186" s="27" t="n"/>
      <c r="J186" s="27" t="n"/>
      <c r="K186" s="27" t="n"/>
      <c r="L186" s="28" t="n"/>
      <c r="M186" s="27" t="n"/>
      <c r="N186" s="27" t="n"/>
      <c r="O186" s="27">
        <f>IF(AND(M186="",N186=""),"",IF(OR(M186="No Hit",N186="No Hit"),"Loss",IF(AND(M186="Hit",N186="Hit"),"Win","Pending")))</f>
        <v/>
      </c>
      <c r="P186" s="28">
        <f>IF(OR(K186="",L186=""),"",IF(K186&gt;0,L186*(K186/100),L186*(100/(-K186))))</f>
        <v/>
      </c>
      <c r="Q186" s="29">
        <f>IF(O186="Win",P186,IF(O186="Loss",-L186,""))</f>
        <v/>
      </c>
      <c r="R186" s="29">
        <f>IF(Q186="","",SUM($Q$2:Q186))</f>
        <v/>
      </c>
      <c r="S186" s="25" t="n"/>
    </row>
    <row r="187">
      <c r="A187" s="24" t="n"/>
      <c r="B187" s="25" t="n"/>
      <c r="C187" s="27" t="n"/>
      <c r="D187" s="26" t="n"/>
      <c r="E187" s="27" t="n"/>
      <c r="F187" s="25" t="n"/>
      <c r="G187" s="27" t="n"/>
      <c r="H187" s="26" t="n"/>
      <c r="I187" s="27" t="n"/>
      <c r="J187" s="27" t="n"/>
      <c r="K187" s="27" t="n"/>
      <c r="L187" s="28" t="n"/>
      <c r="M187" s="27" t="n"/>
      <c r="N187" s="27" t="n"/>
      <c r="O187" s="27">
        <f>IF(AND(M187="",N187=""),"",IF(OR(M187="No Hit",N187="No Hit"),"Loss",IF(AND(M187="Hit",N187="Hit"),"Win","Pending")))</f>
        <v/>
      </c>
      <c r="P187" s="28">
        <f>IF(OR(K187="",L187=""),"",IF(K187&gt;0,L187*(K187/100),L187*(100/(-K187))))</f>
        <v/>
      </c>
      <c r="Q187" s="29">
        <f>IF(O187="Win",P187,IF(O187="Loss",-L187,""))</f>
        <v/>
      </c>
      <c r="R187" s="29">
        <f>IF(Q187="","",SUM($Q$2:Q187))</f>
        <v/>
      </c>
      <c r="S187" s="25" t="n"/>
    </row>
    <row r="188">
      <c r="A188" s="24" t="n"/>
      <c r="B188" s="25" t="n"/>
      <c r="C188" s="27" t="n"/>
      <c r="D188" s="26" t="n"/>
      <c r="E188" s="27" t="n"/>
      <c r="F188" s="25" t="n"/>
      <c r="G188" s="27" t="n"/>
      <c r="H188" s="26" t="n"/>
      <c r="I188" s="27" t="n"/>
      <c r="J188" s="27" t="n"/>
      <c r="K188" s="27" t="n"/>
      <c r="L188" s="28" t="n"/>
      <c r="M188" s="27" t="n"/>
      <c r="N188" s="27" t="n"/>
      <c r="O188" s="27">
        <f>IF(AND(M188="",N188=""),"",IF(OR(M188="No Hit",N188="No Hit"),"Loss",IF(AND(M188="Hit",N188="Hit"),"Win","Pending")))</f>
        <v/>
      </c>
      <c r="P188" s="28">
        <f>IF(OR(K188="",L188=""),"",IF(K188&gt;0,L188*(K188/100),L188*(100/(-K188))))</f>
        <v/>
      </c>
      <c r="Q188" s="29">
        <f>IF(O188="Win",P188,IF(O188="Loss",-L188,""))</f>
        <v/>
      </c>
      <c r="R188" s="29">
        <f>IF(Q188="","",SUM($Q$2:Q188))</f>
        <v/>
      </c>
      <c r="S188" s="25" t="n"/>
    </row>
    <row r="189">
      <c r="A189" s="24" t="n"/>
      <c r="B189" s="25" t="n"/>
      <c r="C189" s="27" t="n"/>
      <c r="D189" s="26" t="n"/>
      <c r="E189" s="27" t="n"/>
      <c r="F189" s="25" t="n"/>
      <c r="G189" s="27" t="n"/>
      <c r="H189" s="26" t="n"/>
      <c r="I189" s="27" t="n"/>
      <c r="J189" s="27" t="n"/>
      <c r="K189" s="27" t="n"/>
      <c r="L189" s="28" t="n"/>
      <c r="M189" s="27" t="n"/>
      <c r="N189" s="27" t="n"/>
      <c r="O189" s="27">
        <f>IF(AND(M189="",N189=""),"",IF(OR(M189="No Hit",N189="No Hit"),"Loss",IF(AND(M189="Hit",N189="Hit"),"Win","Pending")))</f>
        <v/>
      </c>
      <c r="P189" s="28">
        <f>IF(OR(K189="",L189=""),"",IF(K189&gt;0,L189*(K189/100),L189*(100/(-K189))))</f>
        <v/>
      </c>
      <c r="Q189" s="29">
        <f>IF(O189="Win",P189,IF(O189="Loss",-L189,""))</f>
        <v/>
      </c>
      <c r="R189" s="29">
        <f>IF(Q189="","",SUM($Q$2:Q189))</f>
        <v/>
      </c>
      <c r="S189" s="25" t="n"/>
    </row>
    <row r="190">
      <c r="A190" s="24" t="n"/>
      <c r="B190" s="25" t="n"/>
      <c r="C190" s="27" t="n"/>
      <c r="D190" s="26" t="n"/>
      <c r="E190" s="27" t="n"/>
      <c r="F190" s="25" t="n"/>
      <c r="G190" s="27" t="n"/>
      <c r="H190" s="26" t="n"/>
      <c r="I190" s="27" t="n"/>
      <c r="J190" s="27" t="n"/>
      <c r="K190" s="27" t="n"/>
      <c r="L190" s="28" t="n"/>
      <c r="M190" s="27" t="n"/>
      <c r="N190" s="27" t="n"/>
      <c r="O190" s="27">
        <f>IF(AND(M190="",N190=""),"",IF(OR(M190="No Hit",N190="No Hit"),"Loss",IF(AND(M190="Hit",N190="Hit"),"Win","Pending")))</f>
        <v/>
      </c>
      <c r="P190" s="28">
        <f>IF(OR(K190="",L190=""),"",IF(K190&gt;0,L190*(K190/100),L190*(100/(-K190))))</f>
        <v/>
      </c>
      <c r="Q190" s="29">
        <f>IF(O190="Win",P190,IF(O190="Loss",-L190,""))</f>
        <v/>
      </c>
      <c r="R190" s="29">
        <f>IF(Q190="","",SUM($Q$2:Q190))</f>
        <v/>
      </c>
      <c r="S190" s="25" t="n"/>
    </row>
    <row r="191">
      <c r="A191" s="24" t="n"/>
      <c r="B191" s="25" t="n"/>
      <c r="C191" s="27" t="n"/>
      <c r="D191" s="26" t="n"/>
      <c r="E191" s="27" t="n"/>
      <c r="F191" s="25" t="n"/>
      <c r="G191" s="27" t="n"/>
      <c r="H191" s="26" t="n"/>
      <c r="I191" s="27" t="n"/>
      <c r="J191" s="27" t="n"/>
      <c r="K191" s="27" t="n"/>
      <c r="L191" s="28" t="n"/>
      <c r="M191" s="27" t="n"/>
      <c r="N191" s="27" t="n"/>
      <c r="O191" s="27">
        <f>IF(AND(M191="",N191=""),"",IF(OR(M191="No Hit",N191="No Hit"),"Loss",IF(AND(M191="Hit",N191="Hit"),"Win","Pending")))</f>
        <v/>
      </c>
      <c r="P191" s="28">
        <f>IF(OR(K191="",L191=""),"",IF(K191&gt;0,L191*(K191/100),L191*(100/(-K191))))</f>
        <v/>
      </c>
      <c r="Q191" s="29">
        <f>IF(O191="Win",P191,IF(O191="Loss",-L191,""))</f>
        <v/>
      </c>
      <c r="R191" s="29">
        <f>IF(Q191="","",SUM($Q$2:Q191))</f>
        <v/>
      </c>
      <c r="S191" s="25" t="n"/>
    </row>
    <row r="192">
      <c r="A192" s="24" t="n"/>
      <c r="B192" s="25" t="n"/>
      <c r="C192" s="27" t="n"/>
      <c r="D192" s="26" t="n"/>
      <c r="E192" s="27" t="n"/>
      <c r="F192" s="25" t="n"/>
      <c r="G192" s="27" t="n"/>
      <c r="H192" s="26" t="n"/>
      <c r="I192" s="27" t="n"/>
      <c r="J192" s="27" t="n"/>
      <c r="K192" s="27" t="n"/>
      <c r="L192" s="28" t="n"/>
      <c r="M192" s="27" t="n"/>
      <c r="N192" s="27" t="n"/>
      <c r="O192" s="27">
        <f>IF(AND(M192="",N192=""),"",IF(OR(M192="No Hit",N192="No Hit"),"Loss",IF(AND(M192="Hit",N192="Hit"),"Win","Pending")))</f>
        <v/>
      </c>
      <c r="P192" s="28">
        <f>IF(OR(K192="",L192=""),"",IF(K192&gt;0,L192*(K192/100),L192*(100/(-K192))))</f>
        <v/>
      </c>
      <c r="Q192" s="29">
        <f>IF(O192="Win",P192,IF(O192="Loss",-L192,""))</f>
        <v/>
      </c>
      <c r="R192" s="29">
        <f>IF(Q192="","",SUM($Q$2:Q192))</f>
        <v/>
      </c>
      <c r="S192" s="25" t="n"/>
    </row>
    <row r="193">
      <c r="A193" s="24" t="n"/>
      <c r="B193" s="25" t="n"/>
      <c r="C193" s="27" t="n"/>
      <c r="D193" s="26" t="n"/>
      <c r="E193" s="27" t="n"/>
      <c r="F193" s="25" t="n"/>
      <c r="G193" s="27" t="n"/>
      <c r="H193" s="26" t="n"/>
      <c r="I193" s="27" t="n"/>
      <c r="J193" s="27" t="n"/>
      <c r="K193" s="27" t="n"/>
      <c r="L193" s="28" t="n"/>
      <c r="M193" s="27" t="n"/>
      <c r="N193" s="27" t="n"/>
      <c r="O193" s="27">
        <f>IF(AND(M193="",N193=""),"",IF(OR(M193="No Hit",N193="No Hit"),"Loss",IF(AND(M193="Hit",N193="Hit"),"Win","Pending")))</f>
        <v/>
      </c>
      <c r="P193" s="28">
        <f>IF(OR(K193="",L193=""),"",IF(K193&gt;0,L193*(K193/100),L193*(100/(-K193))))</f>
        <v/>
      </c>
      <c r="Q193" s="29">
        <f>IF(O193="Win",P193,IF(O193="Loss",-L193,""))</f>
        <v/>
      </c>
      <c r="R193" s="29">
        <f>IF(Q193="","",SUM($Q$2:Q193))</f>
        <v/>
      </c>
      <c r="S193" s="25" t="n"/>
    </row>
    <row r="194">
      <c r="A194" s="24" t="n"/>
      <c r="B194" s="25" t="n"/>
      <c r="C194" s="27" t="n"/>
      <c r="D194" s="26" t="n"/>
      <c r="E194" s="27" t="n"/>
      <c r="F194" s="25" t="n"/>
      <c r="G194" s="27" t="n"/>
      <c r="H194" s="26" t="n"/>
      <c r="I194" s="27" t="n"/>
      <c r="J194" s="27" t="n"/>
      <c r="K194" s="27" t="n"/>
      <c r="L194" s="28" t="n"/>
      <c r="M194" s="27" t="n"/>
      <c r="N194" s="27" t="n"/>
      <c r="O194" s="27">
        <f>IF(AND(M194="",N194=""),"",IF(OR(M194="No Hit",N194="No Hit"),"Loss",IF(AND(M194="Hit",N194="Hit"),"Win","Pending")))</f>
        <v/>
      </c>
      <c r="P194" s="28">
        <f>IF(OR(K194="",L194=""),"",IF(K194&gt;0,L194*(K194/100),L194*(100/(-K194))))</f>
        <v/>
      </c>
      <c r="Q194" s="29">
        <f>IF(O194="Win",P194,IF(O194="Loss",-L194,""))</f>
        <v/>
      </c>
      <c r="R194" s="29">
        <f>IF(Q194="","",SUM($Q$2:Q194))</f>
        <v/>
      </c>
      <c r="S194" s="25" t="n"/>
    </row>
    <row r="195">
      <c r="A195" s="24" t="n"/>
      <c r="B195" s="25" t="n"/>
      <c r="C195" s="27" t="n"/>
      <c r="D195" s="26" t="n"/>
      <c r="E195" s="27" t="n"/>
      <c r="F195" s="25" t="n"/>
      <c r="G195" s="27" t="n"/>
      <c r="H195" s="26" t="n"/>
      <c r="I195" s="27" t="n"/>
      <c r="J195" s="27" t="n"/>
      <c r="K195" s="27" t="n"/>
      <c r="L195" s="28" t="n"/>
      <c r="M195" s="27" t="n"/>
      <c r="N195" s="27" t="n"/>
      <c r="O195" s="27">
        <f>IF(AND(M195="",N195=""),"",IF(OR(M195="No Hit",N195="No Hit"),"Loss",IF(AND(M195="Hit",N195="Hit"),"Win","Pending")))</f>
        <v/>
      </c>
      <c r="P195" s="28">
        <f>IF(OR(K195="",L195=""),"",IF(K195&gt;0,L195*(K195/100),L195*(100/(-K195))))</f>
        <v/>
      </c>
      <c r="Q195" s="29">
        <f>IF(O195="Win",P195,IF(O195="Loss",-L195,""))</f>
        <v/>
      </c>
      <c r="R195" s="29">
        <f>IF(Q195="","",SUM($Q$2:Q195))</f>
        <v/>
      </c>
      <c r="S195" s="25" t="n"/>
    </row>
    <row r="196">
      <c r="A196" s="24" t="n"/>
      <c r="B196" s="25" t="n"/>
      <c r="C196" s="27" t="n"/>
      <c r="D196" s="26" t="n"/>
      <c r="E196" s="27" t="n"/>
      <c r="F196" s="25" t="n"/>
      <c r="G196" s="27" t="n"/>
      <c r="H196" s="26" t="n"/>
      <c r="I196" s="27" t="n"/>
      <c r="J196" s="27" t="n"/>
      <c r="K196" s="27" t="n"/>
      <c r="L196" s="28" t="n"/>
      <c r="M196" s="27" t="n"/>
      <c r="N196" s="27" t="n"/>
      <c r="O196" s="27">
        <f>IF(AND(M196="",N196=""),"",IF(OR(M196="No Hit",N196="No Hit"),"Loss",IF(AND(M196="Hit",N196="Hit"),"Win","Pending")))</f>
        <v/>
      </c>
      <c r="P196" s="28">
        <f>IF(OR(K196="",L196=""),"",IF(K196&gt;0,L196*(K196/100),L196*(100/(-K196))))</f>
        <v/>
      </c>
      <c r="Q196" s="29">
        <f>IF(O196="Win",P196,IF(O196="Loss",-L196,""))</f>
        <v/>
      </c>
      <c r="R196" s="29">
        <f>IF(Q196="","",SUM($Q$2:Q196))</f>
        <v/>
      </c>
      <c r="S196" s="25" t="n"/>
    </row>
    <row r="197">
      <c r="A197" s="24" t="n"/>
      <c r="B197" s="25" t="n"/>
      <c r="C197" s="27" t="n"/>
      <c r="D197" s="26" t="n"/>
      <c r="E197" s="27" t="n"/>
      <c r="F197" s="25" t="n"/>
      <c r="G197" s="27" t="n"/>
      <c r="H197" s="26" t="n"/>
      <c r="I197" s="27" t="n"/>
      <c r="J197" s="27" t="n"/>
      <c r="K197" s="27" t="n"/>
      <c r="L197" s="28" t="n"/>
      <c r="M197" s="27" t="n"/>
      <c r="N197" s="27" t="n"/>
      <c r="O197" s="27">
        <f>IF(AND(M197="",N197=""),"",IF(OR(M197="No Hit",N197="No Hit"),"Loss",IF(AND(M197="Hit",N197="Hit"),"Win","Pending")))</f>
        <v/>
      </c>
      <c r="P197" s="28">
        <f>IF(OR(K197="",L197=""),"",IF(K197&gt;0,L197*(K197/100),L197*(100/(-K197))))</f>
        <v/>
      </c>
      <c r="Q197" s="29">
        <f>IF(O197="Win",P197,IF(O197="Loss",-L197,""))</f>
        <v/>
      </c>
      <c r="R197" s="29">
        <f>IF(Q197="","",SUM($Q$2:Q197))</f>
        <v/>
      </c>
      <c r="S197" s="25" t="n"/>
    </row>
    <row r="198">
      <c r="A198" s="24" t="n"/>
      <c r="B198" s="25" t="n"/>
      <c r="C198" s="27" t="n"/>
      <c r="D198" s="26" t="n"/>
      <c r="E198" s="27" t="n"/>
      <c r="F198" s="25" t="n"/>
      <c r="G198" s="27" t="n"/>
      <c r="H198" s="26" t="n"/>
      <c r="I198" s="27" t="n"/>
      <c r="J198" s="27" t="n"/>
      <c r="K198" s="27" t="n"/>
      <c r="L198" s="28" t="n"/>
      <c r="M198" s="27" t="n"/>
      <c r="N198" s="27" t="n"/>
      <c r="O198" s="27">
        <f>IF(AND(M198="",N198=""),"",IF(OR(M198="No Hit",N198="No Hit"),"Loss",IF(AND(M198="Hit",N198="Hit"),"Win","Pending")))</f>
        <v/>
      </c>
      <c r="P198" s="28">
        <f>IF(OR(K198="",L198=""),"",IF(K198&gt;0,L198*(K198/100),L198*(100/(-K198))))</f>
        <v/>
      </c>
      <c r="Q198" s="29">
        <f>IF(O198="Win",P198,IF(O198="Loss",-L198,""))</f>
        <v/>
      </c>
      <c r="R198" s="29">
        <f>IF(Q198="","",SUM($Q$2:Q198))</f>
        <v/>
      </c>
      <c r="S198" s="25" t="n"/>
    </row>
    <row r="199">
      <c r="A199" s="24" t="n"/>
      <c r="B199" s="25" t="n"/>
      <c r="C199" s="27" t="n"/>
      <c r="D199" s="26" t="n"/>
      <c r="E199" s="27" t="n"/>
      <c r="F199" s="25" t="n"/>
      <c r="G199" s="27" t="n"/>
      <c r="H199" s="26" t="n"/>
      <c r="I199" s="27" t="n"/>
      <c r="J199" s="27" t="n"/>
      <c r="K199" s="27" t="n"/>
      <c r="L199" s="28" t="n"/>
      <c r="M199" s="27" t="n"/>
      <c r="N199" s="27" t="n"/>
      <c r="O199" s="27">
        <f>IF(AND(M199="",N199=""),"",IF(OR(M199="No Hit",N199="No Hit"),"Loss",IF(AND(M199="Hit",N199="Hit"),"Win","Pending")))</f>
        <v/>
      </c>
      <c r="P199" s="28">
        <f>IF(OR(K199="",L199=""),"",IF(K199&gt;0,L199*(K199/100),L199*(100/(-K199))))</f>
        <v/>
      </c>
      <c r="Q199" s="29">
        <f>IF(O199="Win",P199,IF(O199="Loss",-L199,""))</f>
        <v/>
      </c>
      <c r="R199" s="29">
        <f>IF(Q199="","",SUM($Q$2:Q199))</f>
        <v/>
      </c>
      <c r="S199" s="25" t="n"/>
    </row>
    <row r="200">
      <c r="A200" s="24" t="n"/>
      <c r="B200" s="25" t="n"/>
      <c r="C200" s="27" t="n"/>
      <c r="D200" s="26" t="n"/>
      <c r="E200" s="27" t="n"/>
      <c r="F200" s="25" t="n"/>
      <c r="G200" s="27" t="n"/>
      <c r="H200" s="26" t="n"/>
      <c r="I200" s="27" t="n"/>
      <c r="J200" s="27" t="n"/>
      <c r="K200" s="27" t="n"/>
      <c r="L200" s="28" t="n"/>
      <c r="M200" s="27" t="n"/>
      <c r="N200" s="27" t="n"/>
      <c r="O200" s="27">
        <f>IF(AND(M200="",N200=""),"",IF(OR(M200="No Hit",N200="No Hit"),"Loss",IF(AND(M200="Hit",N200="Hit"),"Win","Pending")))</f>
        <v/>
      </c>
      <c r="P200" s="28">
        <f>IF(OR(K200="",L200=""),"",IF(K200&gt;0,L200*(K200/100),L200*(100/(-K200))))</f>
        <v/>
      </c>
      <c r="Q200" s="29">
        <f>IF(O200="Win",P200,IF(O200="Loss",-L200,""))</f>
        <v/>
      </c>
      <c r="R200" s="29">
        <f>IF(Q200="","",SUM($Q$2:Q200))</f>
        <v/>
      </c>
      <c r="S200" s="25" t="n"/>
    </row>
    <row r="201">
      <c r="A201" s="24" t="n"/>
      <c r="B201" s="25" t="n"/>
      <c r="C201" s="27" t="n"/>
      <c r="D201" s="26" t="n"/>
      <c r="E201" s="27" t="n"/>
      <c r="F201" s="25" t="n"/>
      <c r="G201" s="27" t="n"/>
      <c r="H201" s="26" t="n"/>
      <c r="I201" s="27" t="n"/>
      <c r="J201" s="27" t="n"/>
      <c r="K201" s="27" t="n"/>
      <c r="L201" s="28" t="n"/>
      <c r="M201" s="27" t="n"/>
      <c r="N201" s="27" t="n"/>
      <c r="O201" s="27">
        <f>IF(AND(M201="",N201=""),"",IF(OR(M201="No Hit",N201="No Hit"),"Loss",IF(AND(M201="Hit",N201="Hit"),"Win","Pending")))</f>
        <v/>
      </c>
      <c r="P201" s="28">
        <f>IF(OR(K201="",L201=""),"",IF(K201&gt;0,L201*(K201/100),L201*(100/(-K201))))</f>
        <v/>
      </c>
      <c r="Q201" s="29">
        <f>IF(O201="Win",P201,IF(O201="Loss",-L201,""))</f>
        <v/>
      </c>
      <c r="R201" s="29">
        <f>IF(Q201="","",SUM($Q$2:Q201))</f>
        <v/>
      </c>
      <c r="S201" s="25" t="n"/>
    </row>
    <row r="202">
      <c r="A202" s="24" t="n"/>
      <c r="B202" s="25" t="n"/>
      <c r="C202" s="27" t="n"/>
      <c r="D202" s="26" t="n"/>
      <c r="E202" s="27" t="n"/>
      <c r="F202" s="25" t="n"/>
      <c r="G202" s="27" t="n"/>
      <c r="H202" s="26" t="n"/>
      <c r="I202" s="27" t="n"/>
      <c r="J202" s="27" t="n"/>
      <c r="K202" s="27" t="n"/>
      <c r="L202" s="28" t="n"/>
      <c r="M202" s="27" t="n"/>
      <c r="N202" s="27" t="n"/>
      <c r="O202" s="27">
        <f>IF(AND(M202="",N202=""),"",IF(OR(M202="No Hit",N202="No Hit"),"Loss",IF(AND(M202="Hit",N202="Hit"),"Win","Pending")))</f>
        <v/>
      </c>
      <c r="P202" s="28">
        <f>IF(OR(K202="",L202=""),"",IF(K202&gt;0,L202*(K202/100),L202*(100/(-K202))))</f>
        <v/>
      </c>
      <c r="Q202" s="29">
        <f>IF(O202="Win",P202,IF(O202="Loss",-L202,""))</f>
        <v/>
      </c>
      <c r="R202" s="29">
        <f>IF(Q202="","",SUM($Q$2:Q202))</f>
        <v/>
      </c>
      <c r="S202" s="25" t="n"/>
    </row>
    <row r="203">
      <c r="A203" s="24" t="n"/>
      <c r="B203" s="25" t="n"/>
      <c r="C203" s="27" t="n"/>
      <c r="D203" s="26" t="n"/>
      <c r="E203" s="27" t="n"/>
      <c r="F203" s="25" t="n"/>
      <c r="G203" s="27" t="n"/>
      <c r="H203" s="26" t="n"/>
      <c r="I203" s="27" t="n"/>
      <c r="J203" s="27" t="n"/>
      <c r="K203" s="27" t="n"/>
      <c r="L203" s="28" t="n"/>
      <c r="M203" s="27" t="n"/>
      <c r="N203" s="27" t="n"/>
      <c r="O203" s="27">
        <f>IF(AND(M203="",N203=""),"",IF(OR(M203="No Hit",N203="No Hit"),"Loss",IF(AND(M203="Hit",N203="Hit"),"Win","Pending")))</f>
        <v/>
      </c>
      <c r="P203" s="28">
        <f>IF(OR(K203="",L203=""),"",IF(K203&gt;0,L203*(K203/100),L203*(100/(-K203))))</f>
        <v/>
      </c>
      <c r="Q203" s="29">
        <f>IF(O203="Win",P203,IF(O203="Loss",-L203,""))</f>
        <v/>
      </c>
      <c r="R203" s="29">
        <f>IF(Q203="","",SUM($Q$2:Q203))</f>
        <v/>
      </c>
      <c r="S203" s="25" t="n"/>
    </row>
    <row r="204">
      <c r="A204" s="24" t="n"/>
      <c r="B204" s="25" t="n"/>
      <c r="C204" s="27" t="n"/>
      <c r="D204" s="26" t="n"/>
      <c r="E204" s="27" t="n"/>
      <c r="F204" s="25" t="n"/>
      <c r="G204" s="27" t="n"/>
      <c r="H204" s="26" t="n"/>
      <c r="I204" s="27" t="n"/>
      <c r="J204" s="27" t="n"/>
      <c r="K204" s="27" t="n"/>
      <c r="L204" s="28" t="n"/>
      <c r="M204" s="27" t="n"/>
      <c r="N204" s="27" t="n"/>
      <c r="O204" s="27">
        <f>IF(AND(M204="",N204=""),"",IF(OR(M204="No Hit",N204="No Hit"),"Loss",IF(AND(M204="Hit",N204="Hit"),"Win","Pending")))</f>
        <v/>
      </c>
      <c r="P204" s="28">
        <f>IF(OR(K204="",L204=""),"",IF(K204&gt;0,L204*(K204/100),L204*(100/(-K204))))</f>
        <v/>
      </c>
      <c r="Q204" s="29">
        <f>IF(O204="Win",P204,IF(O204="Loss",-L204,""))</f>
        <v/>
      </c>
      <c r="R204" s="29">
        <f>IF(Q204="","",SUM($Q$2:Q204))</f>
        <v/>
      </c>
      <c r="S204" s="25" t="n"/>
    </row>
    <row r="205">
      <c r="A205" s="24" t="n"/>
      <c r="B205" s="25" t="n"/>
      <c r="C205" s="27" t="n"/>
      <c r="D205" s="26" t="n"/>
      <c r="E205" s="27" t="n"/>
      <c r="F205" s="25" t="n"/>
      <c r="G205" s="27" t="n"/>
      <c r="H205" s="26" t="n"/>
      <c r="I205" s="27" t="n"/>
      <c r="J205" s="27" t="n"/>
      <c r="K205" s="27" t="n"/>
      <c r="L205" s="28" t="n"/>
      <c r="M205" s="27" t="n"/>
      <c r="N205" s="27" t="n"/>
      <c r="O205" s="27">
        <f>IF(AND(M205="",N205=""),"",IF(OR(M205="No Hit",N205="No Hit"),"Loss",IF(AND(M205="Hit",N205="Hit"),"Win","Pending")))</f>
        <v/>
      </c>
      <c r="P205" s="28">
        <f>IF(OR(K205="",L205=""),"",IF(K205&gt;0,L205*(K205/100),L205*(100/(-K205))))</f>
        <v/>
      </c>
      <c r="Q205" s="29">
        <f>IF(O205="Win",P205,IF(O205="Loss",-L205,""))</f>
        <v/>
      </c>
      <c r="R205" s="29">
        <f>IF(Q205="","",SUM($Q$2:Q205))</f>
        <v/>
      </c>
      <c r="S205" s="25" t="n"/>
    </row>
    <row r="206">
      <c r="A206" s="24" t="n"/>
      <c r="B206" s="25" t="n"/>
      <c r="C206" s="27" t="n"/>
      <c r="D206" s="26" t="n"/>
      <c r="E206" s="27" t="n"/>
      <c r="F206" s="25" t="n"/>
      <c r="G206" s="27" t="n"/>
      <c r="H206" s="26" t="n"/>
      <c r="I206" s="27" t="n"/>
      <c r="J206" s="27" t="n"/>
      <c r="K206" s="27" t="n"/>
      <c r="L206" s="28" t="n"/>
      <c r="M206" s="27" t="n"/>
      <c r="N206" s="27" t="n"/>
      <c r="O206" s="27">
        <f>IF(AND(M206="",N206=""),"",IF(OR(M206="No Hit",N206="No Hit"),"Loss",IF(AND(M206="Hit",N206="Hit"),"Win","Pending")))</f>
        <v/>
      </c>
      <c r="P206" s="28">
        <f>IF(OR(K206="",L206=""),"",IF(K206&gt;0,L206*(K206/100),L206*(100/(-K206))))</f>
        <v/>
      </c>
      <c r="Q206" s="29">
        <f>IF(O206="Win",P206,IF(O206="Loss",-L206,""))</f>
        <v/>
      </c>
      <c r="R206" s="29">
        <f>IF(Q206="","",SUM($Q$2:Q206))</f>
        <v/>
      </c>
      <c r="S206" s="25" t="n"/>
    </row>
    <row r="207">
      <c r="A207" s="24" t="n"/>
      <c r="B207" s="25" t="n"/>
      <c r="C207" s="27" t="n"/>
      <c r="D207" s="26" t="n"/>
      <c r="E207" s="27" t="n"/>
      <c r="F207" s="25" t="n"/>
      <c r="G207" s="27" t="n"/>
      <c r="H207" s="26" t="n"/>
      <c r="I207" s="27" t="n"/>
      <c r="J207" s="27" t="n"/>
      <c r="K207" s="27" t="n"/>
      <c r="L207" s="28" t="n"/>
      <c r="M207" s="27" t="n"/>
      <c r="N207" s="27" t="n"/>
      <c r="O207" s="27">
        <f>IF(AND(M207="",N207=""),"",IF(OR(M207="No Hit",N207="No Hit"),"Loss",IF(AND(M207="Hit",N207="Hit"),"Win","Pending")))</f>
        <v/>
      </c>
      <c r="P207" s="28">
        <f>IF(OR(K207="",L207=""),"",IF(K207&gt;0,L207*(K207/100),L207*(100/(-K207))))</f>
        <v/>
      </c>
      <c r="Q207" s="29">
        <f>IF(O207="Win",P207,IF(O207="Loss",-L207,""))</f>
        <v/>
      </c>
      <c r="R207" s="29">
        <f>IF(Q207="","",SUM($Q$2:Q207))</f>
        <v/>
      </c>
      <c r="S207" s="25" t="n"/>
    </row>
    <row r="208">
      <c r="A208" s="24" t="n"/>
      <c r="B208" s="25" t="n"/>
      <c r="C208" s="27" t="n"/>
      <c r="D208" s="26" t="n"/>
      <c r="E208" s="27" t="n"/>
      <c r="F208" s="25" t="n"/>
      <c r="G208" s="27" t="n"/>
      <c r="H208" s="26" t="n"/>
      <c r="I208" s="27" t="n"/>
      <c r="J208" s="27" t="n"/>
      <c r="K208" s="27" t="n"/>
      <c r="L208" s="28" t="n"/>
      <c r="M208" s="27" t="n"/>
      <c r="N208" s="27" t="n"/>
      <c r="O208" s="27">
        <f>IF(AND(M208="",N208=""),"",IF(OR(M208="No Hit",N208="No Hit"),"Loss",IF(AND(M208="Hit",N208="Hit"),"Win","Pending")))</f>
        <v/>
      </c>
      <c r="P208" s="28">
        <f>IF(OR(K208="",L208=""),"",IF(K208&gt;0,L208*(K208/100),L208*(100/(-K208))))</f>
        <v/>
      </c>
      <c r="Q208" s="29">
        <f>IF(O208="Win",P208,IF(O208="Loss",-L208,""))</f>
        <v/>
      </c>
      <c r="R208" s="29">
        <f>IF(Q208="","",SUM($Q$2:Q208))</f>
        <v/>
      </c>
      <c r="S208" s="25" t="n"/>
    </row>
    <row r="209">
      <c r="A209" s="24" t="n"/>
      <c r="B209" s="25" t="n"/>
      <c r="C209" s="27" t="n"/>
      <c r="D209" s="26" t="n"/>
      <c r="E209" s="27" t="n"/>
      <c r="F209" s="25" t="n"/>
      <c r="G209" s="27" t="n"/>
      <c r="H209" s="26" t="n"/>
      <c r="I209" s="27" t="n"/>
      <c r="J209" s="27" t="n"/>
      <c r="K209" s="27" t="n"/>
      <c r="L209" s="28" t="n"/>
      <c r="M209" s="27" t="n"/>
      <c r="N209" s="27" t="n"/>
      <c r="O209" s="27">
        <f>IF(AND(M209="",N209=""),"",IF(OR(M209="No Hit",N209="No Hit"),"Loss",IF(AND(M209="Hit",N209="Hit"),"Win","Pending")))</f>
        <v/>
      </c>
      <c r="P209" s="28">
        <f>IF(OR(K209="",L209=""),"",IF(K209&gt;0,L209*(K209/100),L209*(100/(-K209))))</f>
        <v/>
      </c>
      <c r="Q209" s="29">
        <f>IF(O209="Win",P209,IF(O209="Loss",-L209,""))</f>
        <v/>
      </c>
      <c r="R209" s="29">
        <f>IF(Q209="","",SUM($Q$2:Q209))</f>
        <v/>
      </c>
      <c r="S209" s="25" t="n"/>
    </row>
    <row r="210">
      <c r="A210" s="24" t="n"/>
      <c r="B210" s="25" t="n"/>
      <c r="C210" s="27" t="n"/>
      <c r="D210" s="26" t="n"/>
      <c r="E210" s="27" t="n"/>
      <c r="F210" s="25" t="n"/>
      <c r="G210" s="27" t="n"/>
      <c r="H210" s="26" t="n"/>
      <c r="I210" s="27" t="n"/>
      <c r="J210" s="27" t="n"/>
      <c r="K210" s="27" t="n"/>
      <c r="L210" s="28" t="n"/>
      <c r="M210" s="27" t="n"/>
      <c r="N210" s="27" t="n"/>
      <c r="O210" s="27">
        <f>IF(AND(M210="",N210=""),"",IF(OR(M210="No Hit",N210="No Hit"),"Loss",IF(AND(M210="Hit",N210="Hit"),"Win","Pending")))</f>
        <v/>
      </c>
      <c r="P210" s="28">
        <f>IF(OR(K210="",L210=""),"",IF(K210&gt;0,L210*(K210/100),L210*(100/(-K210))))</f>
        <v/>
      </c>
      <c r="Q210" s="29">
        <f>IF(O210="Win",P210,IF(O210="Loss",-L210,""))</f>
        <v/>
      </c>
      <c r="R210" s="29">
        <f>IF(Q210="","",SUM($Q$2:Q210))</f>
        <v/>
      </c>
      <c r="S210" s="25" t="n"/>
    </row>
    <row r="211">
      <c r="A211" s="24" t="n"/>
      <c r="B211" s="25" t="n"/>
      <c r="C211" s="27" t="n"/>
      <c r="D211" s="26" t="n"/>
      <c r="E211" s="27" t="n"/>
      <c r="F211" s="25" t="n"/>
      <c r="G211" s="27" t="n"/>
      <c r="H211" s="26" t="n"/>
      <c r="I211" s="27" t="n"/>
      <c r="J211" s="27" t="n"/>
      <c r="K211" s="27" t="n"/>
      <c r="L211" s="28" t="n"/>
      <c r="M211" s="27" t="n"/>
      <c r="N211" s="27" t="n"/>
      <c r="O211" s="27">
        <f>IF(AND(M211="",N211=""),"",IF(OR(M211="No Hit",N211="No Hit"),"Loss",IF(AND(M211="Hit",N211="Hit"),"Win","Pending")))</f>
        <v/>
      </c>
      <c r="P211" s="28">
        <f>IF(OR(K211="",L211=""),"",IF(K211&gt;0,L211*(K211/100),L211*(100/(-K211))))</f>
        <v/>
      </c>
      <c r="Q211" s="29">
        <f>IF(O211="Win",P211,IF(O211="Loss",-L211,""))</f>
        <v/>
      </c>
      <c r="R211" s="29">
        <f>IF(Q211="","",SUM($Q$2:Q211))</f>
        <v/>
      </c>
      <c r="S211" s="25" t="n"/>
    </row>
    <row r="212">
      <c r="A212" s="24" t="n"/>
      <c r="B212" s="25" t="n"/>
      <c r="C212" s="27" t="n"/>
      <c r="D212" s="26" t="n"/>
      <c r="E212" s="27" t="n"/>
      <c r="F212" s="25" t="n"/>
      <c r="G212" s="27" t="n"/>
      <c r="H212" s="26" t="n"/>
      <c r="I212" s="27" t="n"/>
      <c r="J212" s="27" t="n"/>
      <c r="K212" s="27" t="n"/>
      <c r="L212" s="28" t="n"/>
      <c r="M212" s="27" t="n"/>
      <c r="N212" s="27" t="n"/>
      <c r="O212" s="27">
        <f>IF(AND(M212="",N212=""),"",IF(OR(M212="No Hit",N212="No Hit"),"Loss",IF(AND(M212="Hit",N212="Hit"),"Win","Pending")))</f>
        <v/>
      </c>
      <c r="P212" s="28">
        <f>IF(OR(K212="",L212=""),"",IF(K212&gt;0,L212*(K212/100),L212*(100/(-K212))))</f>
        <v/>
      </c>
      <c r="Q212" s="29">
        <f>IF(O212="Win",P212,IF(O212="Loss",-L212,""))</f>
        <v/>
      </c>
      <c r="R212" s="29">
        <f>IF(Q212="","",SUM($Q$2:Q212))</f>
        <v/>
      </c>
      <c r="S212" s="25" t="n"/>
    </row>
    <row r="213">
      <c r="A213" s="24" t="n"/>
      <c r="B213" s="25" t="n"/>
      <c r="C213" s="27" t="n"/>
      <c r="D213" s="26" t="n"/>
      <c r="E213" s="27" t="n"/>
      <c r="F213" s="25" t="n"/>
      <c r="G213" s="27" t="n"/>
      <c r="H213" s="26" t="n"/>
      <c r="I213" s="27" t="n"/>
      <c r="J213" s="27" t="n"/>
      <c r="K213" s="27" t="n"/>
      <c r="L213" s="28" t="n"/>
      <c r="M213" s="27" t="n"/>
      <c r="N213" s="27" t="n"/>
      <c r="O213" s="27">
        <f>IF(AND(M213="",N213=""),"",IF(OR(M213="No Hit",N213="No Hit"),"Loss",IF(AND(M213="Hit",N213="Hit"),"Win","Pending")))</f>
        <v/>
      </c>
      <c r="P213" s="28">
        <f>IF(OR(K213="",L213=""),"",IF(K213&gt;0,L213*(K213/100),L213*(100/(-K213))))</f>
        <v/>
      </c>
      <c r="Q213" s="29">
        <f>IF(O213="Win",P213,IF(O213="Loss",-L213,""))</f>
        <v/>
      </c>
      <c r="R213" s="29">
        <f>IF(Q213="","",SUM($Q$2:Q213))</f>
        <v/>
      </c>
      <c r="S213" s="25" t="n"/>
    </row>
    <row r="214">
      <c r="A214" s="24" t="n"/>
      <c r="B214" s="25" t="n"/>
      <c r="C214" s="27" t="n"/>
      <c r="D214" s="26" t="n"/>
      <c r="E214" s="27" t="n"/>
      <c r="F214" s="25" t="n"/>
      <c r="G214" s="27" t="n"/>
      <c r="H214" s="26" t="n"/>
      <c r="I214" s="27" t="n"/>
      <c r="J214" s="27" t="n"/>
      <c r="K214" s="27" t="n"/>
      <c r="L214" s="28" t="n"/>
      <c r="M214" s="27" t="n"/>
      <c r="N214" s="27" t="n"/>
      <c r="O214" s="27">
        <f>IF(AND(M214="",N214=""),"",IF(OR(M214="No Hit",N214="No Hit"),"Loss",IF(AND(M214="Hit",N214="Hit"),"Win","Pending")))</f>
        <v/>
      </c>
      <c r="P214" s="28">
        <f>IF(OR(K214="",L214=""),"",IF(K214&gt;0,L214*(K214/100),L214*(100/(-K214))))</f>
        <v/>
      </c>
      <c r="Q214" s="29">
        <f>IF(O214="Win",P214,IF(O214="Loss",-L214,""))</f>
        <v/>
      </c>
      <c r="R214" s="29">
        <f>IF(Q214="","",SUM($Q$2:Q214))</f>
        <v/>
      </c>
      <c r="S214" s="25" t="n"/>
    </row>
    <row r="215">
      <c r="A215" s="24" t="n"/>
      <c r="B215" s="25" t="n"/>
      <c r="C215" s="27" t="n"/>
      <c r="D215" s="26" t="n"/>
      <c r="E215" s="27" t="n"/>
      <c r="F215" s="25" t="n"/>
      <c r="G215" s="27" t="n"/>
      <c r="H215" s="26" t="n"/>
      <c r="I215" s="27" t="n"/>
      <c r="J215" s="27" t="n"/>
      <c r="K215" s="27" t="n"/>
      <c r="L215" s="28" t="n"/>
      <c r="M215" s="27" t="n"/>
      <c r="N215" s="27" t="n"/>
      <c r="O215" s="27">
        <f>IF(AND(M215="",N215=""),"",IF(OR(M215="No Hit",N215="No Hit"),"Loss",IF(AND(M215="Hit",N215="Hit"),"Win","Pending")))</f>
        <v/>
      </c>
      <c r="P215" s="28">
        <f>IF(OR(K215="",L215=""),"",IF(K215&gt;0,L215*(K215/100),L215*(100/(-K215))))</f>
        <v/>
      </c>
      <c r="Q215" s="29">
        <f>IF(O215="Win",P215,IF(O215="Loss",-L215,""))</f>
        <v/>
      </c>
      <c r="R215" s="29">
        <f>IF(Q215="","",SUM($Q$2:Q215))</f>
        <v/>
      </c>
      <c r="S215" s="25" t="n"/>
    </row>
    <row r="216">
      <c r="A216" s="24" t="n"/>
      <c r="B216" s="25" t="n"/>
      <c r="C216" s="27" t="n"/>
      <c r="D216" s="26" t="n"/>
      <c r="E216" s="27" t="n"/>
      <c r="F216" s="25" t="n"/>
      <c r="G216" s="27" t="n"/>
      <c r="H216" s="26" t="n"/>
      <c r="I216" s="27" t="n"/>
      <c r="J216" s="27" t="n"/>
      <c r="K216" s="27" t="n"/>
      <c r="L216" s="28" t="n"/>
      <c r="M216" s="27" t="n"/>
      <c r="N216" s="27" t="n"/>
      <c r="O216" s="27">
        <f>IF(AND(M216="",N216=""),"",IF(OR(M216="No Hit",N216="No Hit"),"Loss",IF(AND(M216="Hit",N216="Hit"),"Win","Pending")))</f>
        <v/>
      </c>
      <c r="P216" s="28">
        <f>IF(OR(K216="",L216=""),"",IF(K216&gt;0,L216*(K216/100),L216*(100/(-K216))))</f>
        <v/>
      </c>
      <c r="Q216" s="29">
        <f>IF(O216="Win",P216,IF(O216="Loss",-L216,""))</f>
        <v/>
      </c>
      <c r="R216" s="29">
        <f>IF(Q216="","",SUM($Q$2:Q216))</f>
        <v/>
      </c>
      <c r="S216" s="25" t="n"/>
    </row>
    <row r="217">
      <c r="A217" s="24" t="n"/>
      <c r="B217" s="25" t="n"/>
      <c r="C217" s="27" t="n"/>
      <c r="D217" s="26" t="n"/>
      <c r="E217" s="27" t="n"/>
      <c r="F217" s="25" t="n"/>
      <c r="G217" s="27" t="n"/>
      <c r="H217" s="26" t="n"/>
      <c r="I217" s="27" t="n"/>
      <c r="J217" s="27" t="n"/>
      <c r="K217" s="27" t="n"/>
      <c r="L217" s="28" t="n"/>
      <c r="M217" s="27" t="n"/>
      <c r="N217" s="27" t="n"/>
      <c r="O217" s="27">
        <f>IF(AND(M217="",N217=""),"",IF(OR(M217="No Hit",N217="No Hit"),"Loss",IF(AND(M217="Hit",N217="Hit"),"Win","Pending")))</f>
        <v/>
      </c>
      <c r="P217" s="28">
        <f>IF(OR(K217="",L217=""),"",IF(K217&gt;0,L217*(K217/100),L217*(100/(-K217))))</f>
        <v/>
      </c>
      <c r="Q217" s="29">
        <f>IF(O217="Win",P217,IF(O217="Loss",-L217,""))</f>
        <v/>
      </c>
      <c r="R217" s="29">
        <f>IF(Q217="","",SUM($Q$2:Q217))</f>
        <v/>
      </c>
      <c r="S217" s="25" t="n"/>
    </row>
    <row r="218">
      <c r="A218" s="24" t="n"/>
      <c r="B218" s="25" t="n"/>
      <c r="C218" s="27" t="n"/>
      <c r="D218" s="26" t="n"/>
      <c r="E218" s="27" t="n"/>
      <c r="F218" s="25" t="n"/>
      <c r="G218" s="27" t="n"/>
      <c r="H218" s="26" t="n"/>
      <c r="I218" s="27" t="n"/>
      <c r="J218" s="27" t="n"/>
      <c r="K218" s="27" t="n"/>
      <c r="L218" s="28" t="n"/>
      <c r="M218" s="27" t="n"/>
      <c r="N218" s="27" t="n"/>
      <c r="O218" s="27">
        <f>IF(AND(M218="",N218=""),"",IF(OR(M218="No Hit",N218="No Hit"),"Loss",IF(AND(M218="Hit",N218="Hit"),"Win","Pending")))</f>
        <v/>
      </c>
      <c r="P218" s="28">
        <f>IF(OR(K218="",L218=""),"",IF(K218&gt;0,L218*(K218/100),L218*(100/(-K218))))</f>
        <v/>
      </c>
      <c r="Q218" s="29">
        <f>IF(O218="Win",P218,IF(O218="Loss",-L218,""))</f>
        <v/>
      </c>
      <c r="R218" s="29">
        <f>IF(Q218="","",SUM($Q$2:Q218))</f>
        <v/>
      </c>
      <c r="S218" s="25" t="n"/>
    </row>
    <row r="219">
      <c r="A219" s="24" t="n"/>
      <c r="B219" s="25" t="n"/>
      <c r="C219" s="27" t="n"/>
      <c r="D219" s="26" t="n"/>
      <c r="E219" s="27" t="n"/>
      <c r="F219" s="25" t="n"/>
      <c r="G219" s="27" t="n"/>
      <c r="H219" s="26" t="n"/>
      <c r="I219" s="27" t="n"/>
      <c r="J219" s="27" t="n"/>
      <c r="K219" s="27" t="n"/>
      <c r="L219" s="28" t="n"/>
      <c r="M219" s="27" t="n"/>
      <c r="N219" s="27" t="n"/>
      <c r="O219" s="27">
        <f>IF(AND(M219="",N219=""),"",IF(OR(M219="No Hit",N219="No Hit"),"Loss",IF(AND(M219="Hit",N219="Hit"),"Win","Pending")))</f>
        <v/>
      </c>
      <c r="P219" s="28">
        <f>IF(OR(K219="",L219=""),"",IF(K219&gt;0,L219*(K219/100),L219*(100/(-K219))))</f>
        <v/>
      </c>
      <c r="Q219" s="29">
        <f>IF(O219="Win",P219,IF(O219="Loss",-L219,""))</f>
        <v/>
      </c>
      <c r="R219" s="29">
        <f>IF(Q219="","",SUM($Q$2:Q219))</f>
        <v/>
      </c>
      <c r="S219" s="25" t="n"/>
    </row>
    <row r="220">
      <c r="A220" s="24" t="n"/>
      <c r="B220" s="25" t="n"/>
      <c r="C220" s="27" t="n"/>
      <c r="D220" s="26" t="n"/>
      <c r="E220" s="27" t="n"/>
      <c r="F220" s="25" t="n"/>
      <c r="G220" s="27" t="n"/>
      <c r="H220" s="26" t="n"/>
      <c r="I220" s="27" t="n"/>
      <c r="J220" s="27" t="n"/>
      <c r="K220" s="27" t="n"/>
      <c r="L220" s="28" t="n"/>
      <c r="M220" s="27" t="n"/>
      <c r="N220" s="27" t="n"/>
      <c r="O220" s="27">
        <f>IF(AND(M220="",N220=""),"",IF(OR(M220="No Hit",N220="No Hit"),"Loss",IF(AND(M220="Hit",N220="Hit"),"Win","Pending")))</f>
        <v/>
      </c>
      <c r="P220" s="28">
        <f>IF(OR(K220="",L220=""),"",IF(K220&gt;0,L220*(K220/100),L220*(100/(-K220))))</f>
        <v/>
      </c>
      <c r="Q220" s="29">
        <f>IF(O220="Win",P220,IF(O220="Loss",-L220,""))</f>
        <v/>
      </c>
      <c r="R220" s="29">
        <f>IF(Q220="","",SUM($Q$2:Q220))</f>
        <v/>
      </c>
      <c r="S220" s="25" t="n"/>
    </row>
    <row r="221">
      <c r="A221" s="24" t="n"/>
      <c r="B221" s="25" t="n"/>
      <c r="C221" s="27" t="n"/>
      <c r="D221" s="26" t="n"/>
      <c r="E221" s="27" t="n"/>
      <c r="F221" s="25" t="n"/>
      <c r="G221" s="27" t="n"/>
      <c r="H221" s="26" t="n"/>
      <c r="I221" s="27" t="n"/>
      <c r="J221" s="27" t="n"/>
      <c r="K221" s="27" t="n"/>
      <c r="L221" s="28" t="n"/>
      <c r="M221" s="27" t="n"/>
      <c r="N221" s="27" t="n"/>
      <c r="O221" s="27">
        <f>IF(AND(M221="",N221=""),"",IF(OR(M221="No Hit",N221="No Hit"),"Loss",IF(AND(M221="Hit",N221="Hit"),"Win","Pending")))</f>
        <v/>
      </c>
      <c r="P221" s="28">
        <f>IF(OR(K221="",L221=""),"",IF(K221&gt;0,L221*(K221/100),L221*(100/(-K221))))</f>
        <v/>
      </c>
      <c r="Q221" s="29">
        <f>IF(O221="Win",P221,IF(O221="Loss",-L221,""))</f>
        <v/>
      </c>
      <c r="R221" s="29">
        <f>IF(Q221="","",SUM($Q$2:Q221))</f>
        <v/>
      </c>
      <c r="S221" s="25" t="n"/>
    </row>
    <row r="222">
      <c r="A222" s="24" t="n"/>
      <c r="B222" s="25" t="n"/>
      <c r="C222" s="27" t="n"/>
      <c r="D222" s="26" t="n"/>
      <c r="E222" s="27" t="n"/>
      <c r="F222" s="25" t="n"/>
      <c r="G222" s="27" t="n"/>
      <c r="H222" s="26" t="n"/>
      <c r="I222" s="27" t="n"/>
      <c r="J222" s="27" t="n"/>
      <c r="K222" s="27" t="n"/>
      <c r="L222" s="28" t="n"/>
      <c r="M222" s="27" t="n"/>
      <c r="N222" s="27" t="n"/>
      <c r="O222" s="27">
        <f>IF(AND(M222="",N222=""),"",IF(OR(M222="No Hit",N222="No Hit"),"Loss",IF(AND(M222="Hit",N222="Hit"),"Win","Pending")))</f>
        <v/>
      </c>
      <c r="P222" s="28">
        <f>IF(OR(K222="",L222=""),"",IF(K222&gt;0,L222*(K222/100),L222*(100/(-K222))))</f>
        <v/>
      </c>
      <c r="Q222" s="29">
        <f>IF(O222="Win",P222,IF(O222="Loss",-L222,""))</f>
        <v/>
      </c>
      <c r="R222" s="29">
        <f>IF(Q222="","",SUM($Q$2:Q222))</f>
        <v/>
      </c>
      <c r="S222" s="25" t="n"/>
    </row>
    <row r="223">
      <c r="A223" s="24" t="n"/>
      <c r="B223" s="25" t="n"/>
      <c r="C223" s="27" t="n"/>
      <c r="D223" s="26" t="n"/>
      <c r="E223" s="27" t="n"/>
      <c r="F223" s="25" t="n"/>
      <c r="G223" s="27" t="n"/>
      <c r="H223" s="26" t="n"/>
      <c r="I223" s="27" t="n"/>
      <c r="J223" s="27" t="n"/>
      <c r="K223" s="27" t="n"/>
      <c r="L223" s="28" t="n"/>
      <c r="M223" s="27" t="n"/>
      <c r="N223" s="27" t="n"/>
      <c r="O223" s="27">
        <f>IF(AND(M223="",N223=""),"",IF(OR(M223="No Hit",N223="No Hit"),"Loss",IF(AND(M223="Hit",N223="Hit"),"Win","Pending")))</f>
        <v/>
      </c>
      <c r="P223" s="28">
        <f>IF(OR(K223="",L223=""),"",IF(K223&gt;0,L223*(K223/100),L223*(100/(-K223))))</f>
        <v/>
      </c>
      <c r="Q223" s="29">
        <f>IF(O223="Win",P223,IF(O223="Loss",-L223,""))</f>
        <v/>
      </c>
      <c r="R223" s="29">
        <f>IF(Q223="","",SUM($Q$2:Q223))</f>
        <v/>
      </c>
      <c r="S223" s="25" t="n"/>
    </row>
    <row r="224">
      <c r="A224" s="24" t="n"/>
      <c r="B224" s="25" t="n"/>
      <c r="C224" s="27" t="n"/>
      <c r="D224" s="26" t="n"/>
      <c r="E224" s="27" t="n"/>
      <c r="F224" s="25" t="n"/>
      <c r="G224" s="27" t="n"/>
      <c r="H224" s="26" t="n"/>
      <c r="I224" s="27" t="n"/>
      <c r="J224" s="27" t="n"/>
      <c r="K224" s="27" t="n"/>
      <c r="L224" s="28" t="n"/>
      <c r="M224" s="27" t="n"/>
      <c r="N224" s="27" t="n"/>
      <c r="O224" s="27">
        <f>IF(AND(M224="",N224=""),"",IF(OR(M224="No Hit",N224="No Hit"),"Loss",IF(AND(M224="Hit",N224="Hit"),"Win","Pending")))</f>
        <v/>
      </c>
      <c r="P224" s="28">
        <f>IF(OR(K224="",L224=""),"",IF(K224&gt;0,L224*(K224/100),L224*(100/(-K224))))</f>
        <v/>
      </c>
      <c r="Q224" s="29">
        <f>IF(O224="Win",P224,IF(O224="Loss",-L224,""))</f>
        <v/>
      </c>
      <c r="R224" s="29">
        <f>IF(Q224="","",SUM($Q$2:Q224))</f>
        <v/>
      </c>
      <c r="S224" s="25" t="n"/>
    </row>
    <row r="225">
      <c r="A225" s="24" t="n"/>
      <c r="B225" s="25" t="n"/>
      <c r="C225" s="27" t="n"/>
      <c r="D225" s="26" t="n"/>
      <c r="E225" s="27" t="n"/>
      <c r="F225" s="25" t="n"/>
      <c r="G225" s="27" t="n"/>
      <c r="H225" s="26" t="n"/>
      <c r="I225" s="27" t="n"/>
      <c r="J225" s="27" t="n"/>
      <c r="K225" s="27" t="n"/>
      <c r="L225" s="28" t="n"/>
      <c r="M225" s="27" t="n"/>
      <c r="N225" s="27" t="n"/>
      <c r="O225" s="27">
        <f>IF(AND(M225="",N225=""),"",IF(OR(M225="No Hit",N225="No Hit"),"Loss",IF(AND(M225="Hit",N225="Hit"),"Win","Pending")))</f>
        <v/>
      </c>
      <c r="P225" s="28">
        <f>IF(OR(K225="",L225=""),"",IF(K225&gt;0,L225*(K225/100),L225*(100/(-K225))))</f>
        <v/>
      </c>
      <c r="Q225" s="29">
        <f>IF(O225="Win",P225,IF(O225="Loss",-L225,""))</f>
        <v/>
      </c>
      <c r="R225" s="29">
        <f>IF(Q225="","",SUM($Q$2:Q225))</f>
        <v/>
      </c>
      <c r="S225" s="25" t="n"/>
    </row>
    <row r="226">
      <c r="A226" s="24" t="n"/>
      <c r="B226" s="25" t="n"/>
      <c r="C226" s="27" t="n"/>
      <c r="D226" s="26" t="n"/>
      <c r="E226" s="27" t="n"/>
      <c r="F226" s="25" t="n"/>
      <c r="G226" s="27" t="n"/>
      <c r="H226" s="26" t="n"/>
      <c r="I226" s="27" t="n"/>
      <c r="J226" s="27" t="n"/>
      <c r="K226" s="27" t="n"/>
      <c r="L226" s="28" t="n"/>
      <c r="M226" s="27" t="n"/>
      <c r="N226" s="27" t="n"/>
      <c r="O226" s="27">
        <f>IF(AND(M226="",N226=""),"",IF(OR(M226="No Hit",N226="No Hit"),"Loss",IF(AND(M226="Hit",N226="Hit"),"Win","Pending")))</f>
        <v/>
      </c>
      <c r="P226" s="28">
        <f>IF(OR(K226="",L226=""),"",IF(K226&gt;0,L226*(K226/100),L226*(100/(-K226))))</f>
        <v/>
      </c>
      <c r="Q226" s="29">
        <f>IF(O226="Win",P226,IF(O226="Loss",-L226,""))</f>
        <v/>
      </c>
      <c r="R226" s="29">
        <f>IF(Q226="","",SUM($Q$2:Q226))</f>
        <v/>
      </c>
      <c r="S226" s="25" t="n"/>
    </row>
    <row r="227">
      <c r="A227" s="24" t="n"/>
      <c r="B227" s="25" t="n"/>
      <c r="C227" s="27" t="n"/>
      <c r="D227" s="26" t="n"/>
      <c r="E227" s="27" t="n"/>
      <c r="F227" s="25" t="n"/>
      <c r="G227" s="27" t="n"/>
      <c r="H227" s="26" t="n"/>
      <c r="I227" s="27" t="n"/>
      <c r="J227" s="27" t="n"/>
      <c r="K227" s="27" t="n"/>
      <c r="L227" s="28" t="n"/>
      <c r="M227" s="27" t="n"/>
      <c r="N227" s="27" t="n"/>
      <c r="O227" s="27">
        <f>IF(AND(M227="",N227=""),"",IF(OR(M227="No Hit",N227="No Hit"),"Loss",IF(AND(M227="Hit",N227="Hit"),"Win","Pending")))</f>
        <v/>
      </c>
      <c r="P227" s="28">
        <f>IF(OR(K227="",L227=""),"",IF(K227&gt;0,L227*(K227/100),L227*(100/(-K227))))</f>
        <v/>
      </c>
      <c r="Q227" s="29">
        <f>IF(O227="Win",P227,IF(O227="Loss",-L227,""))</f>
        <v/>
      </c>
      <c r="R227" s="29">
        <f>IF(Q227="","",SUM($Q$2:Q227))</f>
        <v/>
      </c>
      <c r="S227" s="25" t="n"/>
    </row>
    <row r="228">
      <c r="A228" s="24" t="n"/>
      <c r="B228" s="25" t="n"/>
      <c r="C228" s="27" t="n"/>
      <c r="D228" s="26" t="n"/>
      <c r="E228" s="27" t="n"/>
      <c r="F228" s="25" t="n"/>
      <c r="G228" s="27" t="n"/>
      <c r="H228" s="26" t="n"/>
      <c r="I228" s="27" t="n"/>
      <c r="J228" s="27" t="n"/>
      <c r="K228" s="27" t="n"/>
      <c r="L228" s="28" t="n"/>
      <c r="M228" s="27" t="n"/>
      <c r="N228" s="27" t="n"/>
      <c r="O228" s="27">
        <f>IF(AND(M228="",N228=""),"",IF(OR(M228="No Hit",N228="No Hit"),"Loss",IF(AND(M228="Hit",N228="Hit"),"Win","Pending")))</f>
        <v/>
      </c>
      <c r="P228" s="28">
        <f>IF(OR(K228="",L228=""),"",IF(K228&gt;0,L228*(K228/100),L228*(100/(-K228))))</f>
        <v/>
      </c>
      <c r="Q228" s="29">
        <f>IF(O228="Win",P228,IF(O228="Loss",-L228,""))</f>
        <v/>
      </c>
      <c r="R228" s="29">
        <f>IF(Q228="","",SUM($Q$2:Q228))</f>
        <v/>
      </c>
      <c r="S228" s="25" t="n"/>
    </row>
    <row r="229">
      <c r="A229" s="24" t="n"/>
      <c r="B229" s="25" t="n"/>
      <c r="C229" s="27" t="n"/>
      <c r="D229" s="26" t="n"/>
      <c r="E229" s="27" t="n"/>
      <c r="F229" s="25" t="n"/>
      <c r="G229" s="27" t="n"/>
      <c r="H229" s="26" t="n"/>
      <c r="I229" s="27" t="n"/>
      <c r="J229" s="27" t="n"/>
      <c r="K229" s="27" t="n"/>
      <c r="L229" s="28" t="n"/>
      <c r="M229" s="27" t="n"/>
      <c r="N229" s="27" t="n"/>
      <c r="O229" s="27">
        <f>IF(AND(M229="",N229=""),"",IF(OR(M229="No Hit",N229="No Hit"),"Loss",IF(AND(M229="Hit",N229="Hit"),"Win","Pending")))</f>
        <v/>
      </c>
      <c r="P229" s="28">
        <f>IF(OR(K229="",L229=""),"",IF(K229&gt;0,L229*(K229/100),L229*(100/(-K229))))</f>
        <v/>
      </c>
      <c r="Q229" s="29">
        <f>IF(O229="Win",P229,IF(O229="Loss",-L229,""))</f>
        <v/>
      </c>
      <c r="R229" s="29">
        <f>IF(Q229="","",SUM($Q$2:Q229))</f>
        <v/>
      </c>
      <c r="S229" s="25" t="n"/>
    </row>
    <row r="230">
      <c r="A230" s="24" t="n"/>
      <c r="B230" s="25" t="n"/>
      <c r="C230" s="27" t="n"/>
      <c r="D230" s="26" t="n"/>
      <c r="E230" s="27" t="n"/>
      <c r="F230" s="25" t="n"/>
      <c r="G230" s="27" t="n"/>
      <c r="H230" s="26" t="n"/>
      <c r="I230" s="27" t="n"/>
      <c r="J230" s="27" t="n"/>
      <c r="K230" s="27" t="n"/>
      <c r="L230" s="28" t="n"/>
      <c r="M230" s="27" t="n"/>
      <c r="N230" s="27" t="n"/>
      <c r="O230" s="27">
        <f>IF(AND(M230="",N230=""),"",IF(OR(M230="No Hit",N230="No Hit"),"Loss",IF(AND(M230="Hit",N230="Hit"),"Win","Pending")))</f>
        <v/>
      </c>
      <c r="P230" s="28">
        <f>IF(OR(K230="",L230=""),"",IF(K230&gt;0,L230*(K230/100),L230*(100/(-K230))))</f>
        <v/>
      </c>
      <c r="Q230" s="29">
        <f>IF(O230="Win",P230,IF(O230="Loss",-L230,""))</f>
        <v/>
      </c>
      <c r="R230" s="29">
        <f>IF(Q230="","",SUM($Q$2:Q230))</f>
        <v/>
      </c>
      <c r="S230" s="25" t="n"/>
    </row>
    <row r="231">
      <c r="A231" s="24" t="n"/>
      <c r="B231" s="25" t="n"/>
      <c r="C231" s="27" t="n"/>
      <c r="D231" s="26" t="n"/>
      <c r="E231" s="27" t="n"/>
      <c r="F231" s="25" t="n"/>
      <c r="G231" s="27" t="n"/>
      <c r="H231" s="26" t="n"/>
      <c r="I231" s="27" t="n"/>
      <c r="J231" s="27" t="n"/>
      <c r="K231" s="27" t="n"/>
      <c r="L231" s="28" t="n"/>
      <c r="M231" s="27" t="n"/>
      <c r="N231" s="27" t="n"/>
      <c r="O231" s="27">
        <f>IF(AND(M231="",N231=""),"",IF(OR(M231="No Hit",N231="No Hit"),"Loss",IF(AND(M231="Hit",N231="Hit"),"Win","Pending")))</f>
        <v/>
      </c>
      <c r="P231" s="28">
        <f>IF(OR(K231="",L231=""),"",IF(K231&gt;0,L231*(K231/100),L231*(100/(-K231))))</f>
        <v/>
      </c>
      <c r="Q231" s="29">
        <f>IF(O231="Win",P231,IF(O231="Loss",-L231,""))</f>
        <v/>
      </c>
      <c r="R231" s="29">
        <f>IF(Q231="","",SUM($Q$2:Q231))</f>
        <v/>
      </c>
      <c r="S231" s="25" t="n"/>
    </row>
    <row r="232">
      <c r="A232" s="24" t="n"/>
      <c r="B232" s="25" t="n"/>
      <c r="C232" s="27" t="n"/>
      <c r="D232" s="26" t="n"/>
      <c r="E232" s="27" t="n"/>
      <c r="F232" s="25" t="n"/>
      <c r="G232" s="27" t="n"/>
      <c r="H232" s="26" t="n"/>
      <c r="I232" s="27" t="n"/>
      <c r="J232" s="27" t="n"/>
      <c r="K232" s="27" t="n"/>
      <c r="L232" s="28" t="n"/>
      <c r="M232" s="27" t="n"/>
      <c r="N232" s="27" t="n"/>
      <c r="O232" s="27">
        <f>IF(AND(M232="",N232=""),"",IF(OR(M232="No Hit",N232="No Hit"),"Loss",IF(AND(M232="Hit",N232="Hit"),"Win","Pending")))</f>
        <v/>
      </c>
      <c r="P232" s="28">
        <f>IF(OR(K232="",L232=""),"",IF(K232&gt;0,L232*(K232/100),L232*(100/(-K232))))</f>
        <v/>
      </c>
      <c r="Q232" s="29">
        <f>IF(O232="Win",P232,IF(O232="Loss",-L232,""))</f>
        <v/>
      </c>
      <c r="R232" s="29">
        <f>IF(Q232="","",SUM($Q$2:Q232))</f>
        <v/>
      </c>
      <c r="S232" s="25" t="n"/>
    </row>
    <row r="233">
      <c r="A233" s="24" t="n"/>
      <c r="B233" s="25" t="n"/>
      <c r="C233" s="27" t="n"/>
      <c r="D233" s="26" t="n"/>
      <c r="E233" s="27" t="n"/>
      <c r="F233" s="25" t="n"/>
      <c r="G233" s="27" t="n"/>
      <c r="H233" s="26" t="n"/>
      <c r="I233" s="27" t="n"/>
      <c r="J233" s="27" t="n"/>
      <c r="K233" s="27" t="n"/>
      <c r="L233" s="28" t="n"/>
      <c r="M233" s="27" t="n"/>
      <c r="N233" s="27" t="n"/>
      <c r="O233" s="27">
        <f>IF(AND(M233="",N233=""),"",IF(OR(M233="No Hit",N233="No Hit"),"Loss",IF(AND(M233="Hit",N233="Hit"),"Win","Pending")))</f>
        <v/>
      </c>
      <c r="P233" s="28">
        <f>IF(OR(K233="",L233=""),"",IF(K233&gt;0,L233*(K233/100),L233*(100/(-K233))))</f>
        <v/>
      </c>
      <c r="Q233" s="29">
        <f>IF(O233="Win",P233,IF(O233="Loss",-L233,""))</f>
        <v/>
      </c>
      <c r="R233" s="29">
        <f>IF(Q233="","",SUM($Q$2:Q233))</f>
        <v/>
      </c>
      <c r="S233" s="25" t="n"/>
    </row>
    <row r="234">
      <c r="A234" s="24" t="n"/>
      <c r="B234" s="25" t="n"/>
      <c r="C234" s="27" t="n"/>
      <c r="D234" s="26" t="n"/>
      <c r="E234" s="27" t="n"/>
      <c r="F234" s="25" t="n"/>
      <c r="G234" s="27" t="n"/>
      <c r="H234" s="26" t="n"/>
      <c r="I234" s="27" t="n"/>
      <c r="J234" s="27" t="n"/>
      <c r="K234" s="27" t="n"/>
      <c r="L234" s="28" t="n"/>
      <c r="M234" s="27" t="n"/>
      <c r="N234" s="27" t="n"/>
      <c r="O234" s="27">
        <f>IF(AND(M234="",N234=""),"",IF(OR(M234="No Hit",N234="No Hit"),"Loss",IF(AND(M234="Hit",N234="Hit"),"Win","Pending")))</f>
        <v/>
      </c>
      <c r="P234" s="28">
        <f>IF(OR(K234="",L234=""),"",IF(K234&gt;0,L234*(K234/100),L234*(100/(-K234))))</f>
        <v/>
      </c>
      <c r="Q234" s="29">
        <f>IF(O234="Win",P234,IF(O234="Loss",-L234,""))</f>
        <v/>
      </c>
      <c r="R234" s="29">
        <f>IF(Q234="","",SUM($Q$2:Q234))</f>
        <v/>
      </c>
      <c r="S234" s="25" t="n"/>
    </row>
    <row r="235">
      <c r="A235" s="24" t="n"/>
      <c r="B235" s="25" t="n"/>
      <c r="C235" s="27" t="n"/>
      <c r="D235" s="26" t="n"/>
      <c r="E235" s="27" t="n"/>
      <c r="F235" s="25" t="n"/>
      <c r="G235" s="27" t="n"/>
      <c r="H235" s="26" t="n"/>
      <c r="I235" s="27" t="n"/>
      <c r="J235" s="27" t="n"/>
      <c r="K235" s="27" t="n"/>
      <c r="L235" s="28" t="n"/>
      <c r="M235" s="27" t="n"/>
      <c r="N235" s="27" t="n"/>
      <c r="O235" s="27">
        <f>IF(AND(M235="",N235=""),"",IF(OR(M235="No Hit",N235="No Hit"),"Loss",IF(AND(M235="Hit",N235="Hit"),"Win","Pending")))</f>
        <v/>
      </c>
      <c r="P235" s="28">
        <f>IF(OR(K235="",L235=""),"",IF(K235&gt;0,L235*(K235/100),L235*(100/(-K235))))</f>
        <v/>
      </c>
      <c r="Q235" s="29">
        <f>IF(O235="Win",P235,IF(O235="Loss",-L235,""))</f>
        <v/>
      </c>
      <c r="R235" s="29">
        <f>IF(Q235="","",SUM($Q$2:Q235))</f>
        <v/>
      </c>
      <c r="S235" s="25" t="n"/>
    </row>
    <row r="236">
      <c r="A236" s="24" t="n"/>
      <c r="B236" s="25" t="n"/>
      <c r="C236" s="27" t="n"/>
      <c r="D236" s="26" t="n"/>
      <c r="E236" s="27" t="n"/>
      <c r="F236" s="25" t="n"/>
      <c r="G236" s="27" t="n"/>
      <c r="H236" s="26" t="n"/>
      <c r="I236" s="27" t="n"/>
      <c r="J236" s="27" t="n"/>
      <c r="K236" s="27" t="n"/>
      <c r="L236" s="28" t="n"/>
      <c r="M236" s="27" t="n"/>
      <c r="N236" s="27" t="n"/>
      <c r="O236" s="27">
        <f>IF(AND(M236="",N236=""),"",IF(OR(M236="No Hit",N236="No Hit"),"Loss",IF(AND(M236="Hit",N236="Hit"),"Win","Pending")))</f>
        <v/>
      </c>
      <c r="P236" s="28">
        <f>IF(OR(K236="",L236=""),"",IF(K236&gt;0,L236*(K236/100),L236*(100/(-K236))))</f>
        <v/>
      </c>
      <c r="Q236" s="29">
        <f>IF(O236="Win",P236,IF(O236="Loss",-L236,""))</f>
        <v/>
      </c>
      <c r="R236" s="29">
        <f>IF(Q236="","",SUM($Q$2:Q236))</f>
        <v/>
      </c>
      <c r="S236" s="25" t="n"/>
    </row>
    <row r="237">
      <c r="A237" s="24" t="n"/>
      <c r="B237" s="25" t="n"/>
      <c r="C237" s="27" t="n"/>
      <c r="D237" s="26" t="n"/>
      <c r="E237" s="27" t="n"/>
      <c r="F237" s="25" t="n"/>
      <c r="G237" s="27" t="n"/>
      <c r="H237" s="26" t="n"/>
      <c r="I237" s="27" t="n"/>
      <c r="J237" s="27" t="n"/>
      <c r="K237" s="27" t="n"/>
      <c r="L237" s="28" t="n"/>
      <c r="M237" s="27" t="n"/>
      <c r="N237" s="27" t="n"/>
      <c r="O237" s="27">
        <f>IF(AND(M237="",N237=""),"",IF(OR(M237="No Hit",N237="No Hit"),"Loss",IF(AND(M237="Hit",N237="Hit"),"Win","Pending")))</f>
        <v/>
      </c>
      <c r="P237" s="28">
        <f>IF(OR(K237="",L237=""),"",IF(K237&gt;0,L237*(K237/100),L237*(100/(-K237))))</f>
        <v/>
      </c>
      <c r="Q237" s="29">
        <f>IF(O237="Win",P237,IF(O237="Loss",-L237,""))</f>
        <v/>
      </c>
      <c r="R237" s="29">
        <f>IF(Q237="","",SUM($Q$2:Q237))</f>
        <v/>
      </c>
      <c r="S237" s="25" t="n"/>
    </row>
    <row r="238">
      <c r="A238" s="24" t="n"/>
      <c r="B238" s="25" t="n"/>
      <c r="C238" s="27" t="n"/>
      <c r="D238" s="26" t="n"/>
      <c r="E238" s="27" t="n"/>
      <c r="F238" s="25" t="n"/>
      <c r="G238" s="27" t="n"/>
      <c r="H238" s="26" t="n"/>
      <c r="I238" s="27" t="n"/>
      <c r="J238" s="27" t="n"/>
      <c r="K238" s="27" t="n"/>
      <c r="L238" s="28" t="n"/>
      <c r="M238" s="27" t="n"/>
      <c r="N238" s="27" t="n"/>
      <c r="O238" s="27">
        <f>IF(AND(M238="",N238=""),"",IF(OR(M238="No Hit",N238="No Hit"),"Loss",IF(AND(M238="Hit",N238="Hit"),"Win","Pending")))</f>
        <v/>
      </c>
      <c r="P238" s="28">
        <f>IF(OR(K238="",L238=""),"",IF(K238&gt;0,L238*(K238/100),L238*(100/(-K238))))</f>
        <v/>
      </c>
      <c r="Q238" s="29">
        <f>IF(O238="Win",P238,IF(O238="Loss",-L238,""))</f>
        <v/>
      </c>
      <c r="R238" s="29">
        <f>IF(Q238="","",SUM($Q$2:Q238))</f>
        <v/>
      </c>
      <c r="S238" s="25" t="n"/>
    </row>
    <row r="239">
      <c r="A239" s="24" t="n"/>
      <c r="B239" s="25" t="n"/>
      <c r="C239" s="27" t="n"/>
      <c r="D239" s="26" t="n"/>
      <c r="E239" s="27" t="n"/>
      <c r="F239" s="25" t="n"/>
      <c r="G239" s="27" t="n"/>
      <c r="H239" s="26" t="n"/>
      <c r="I239" s="27" t="n"/>
      <c r="J239" s="27" t="n"/>
      <c r="K239" s="27" t="n"/>
      <c r="L239" s="28" t="n"/>
      <c r="M239" s="27" t="n"/>
      <c r="N239" s="27" t="n"/>
      <c r="O239" s="27">
        <f>IF(AND(M239="",N239=""),"",IF(OR(M239="No Hit",N239="No Hit"),"Loss",IF(AND(M239="Hit",N239="Hit"),"Win","Pending")))</f>
        <v/>
      </c>
      <c r="P239" s="28">
        <f>IF(OR(K239="",L239=""),"",IF(K239&gt;0,L239*(K239/100),L239*(100/(-K239))))</f>
        <v/>
      </c>
      <c r="Q239" s="29">
        <f>IF(O239="Win",P239,IF(O239="Loss",-L239,""))</f>
        <v/>
      </c>
      <c r="R239" s="29">
        <f>IF(Q239="","",SUM($Q$2:Q239))</f>
        <v/>
      </c>
      <c r="S239" s="25" t="n"/>
    </row>
    <row r="240">
      <c r="A240" s="24" t="n"/>
      <c r="B240" s="25" t="n"/>
      <c r="C240" s="27" t="n"/>
      <c r="D240" s="26" t="n"/>
      <c r="E240" s="27" t="n"/>
      <c r="F240" s="25" t="n"/>
      <c r="G240" s="27" t="n"/>
      <c r="H240" s="26" t="n"/>
      <c r="I240" s="27" t="n"/>
      <c r="J240" s="27" t="n"/>
      <c r="K240" s="27" t="n"/>
      <c r="L240" s="28" t="n"/>
      <c r="M240" s="27" t="n"/>
      <c r="N240" s="27" t="n"/>
      <c r="O240" s="27">
        <f>IF(AND(M240="",N240=""),"",IF(OR(M240="No Hit",N240="No Hit"),"Loss",IF(AND(M240="Hit",N240="Hit"),"Win","Pending")))</f>
        <v/>
      </c>
      <c r="P240" s="28">
        <f>IF(OR(K240="",L240=""),"",IF(K240&gt;0,L240*(K240/100),L240*(100/(-K240))))</f>
        <v/>
      </c>
      <c r="Q240" s="29">
        <f>IF(O240="Win",P240,IF(O240="Loss",-L240,""))</f>
        <v/>
      </c>
      <c r="R240" s="29">
        <f>IF(Q240="","",SUM($Q$2:Q240))</f>
        <v/>
      </c>
      <c r="S240" s="25" t="n"/>
    </row>
    <row r="241">
      <c r="A241" s="24" t="n"/>
      <c r="B241" s="25" t="n"/>
      <c r="C241" s="27" t="n"/>
      <c r="D241" s="26" t="n"/>
      <c r="E241" s="27" t="n"/>
      <c r="F241" s="25" t="n"/>
      <c r="G241" s="27" t="n"/>
      <c r="H241" s="26" t="n"/>
      <c r="I241" s="27" t="n"/>
      <c r="J241" s="27" t="n"/>
      <c r="K241" s="27" t="n"/>
      <c r="L241" s="28" t="n"/>
      <c r="M241" s="27" t="n"/>
      <c r="N241" s="27" t="n"/>
      <c r="O241" s="27">
        <f>IF(AND(M241="",N241=""),"",IF(OR(M241="No Hit",N241="No Hit"),"Loss",IF(AND(M241="Hit",N241="Hit"),"Win","Pending")))</f>
        <v/>
      </c>
      <c r="P241" s="28">
        <f>IF(OR(K241="",L241=""),"",IF(K241&gt;0,L241*(K241/100),L241*(100/(-K241))))</f>
        <v/>
      </c>
      <c r="Q241" s="29">
        <f>IF(O241="Win",P241,IF(O241="Loss",-L241,""))</f>
        <v/>
      </c>
      <c r="R241" s="29">
        <f>IF(Q241="","",SUM($Q$2:Q241))</f>
        <v/>
      </c>
      <c r="S241" s="25" t="n"/>
    </row>
    <row r="242">
      <c r="A242" s="24" t="n"/>
      <c r="B242" s="25" t="n"/>
      <c r="C242" s="27" t="n"/>
      <c r="D242" s="26" t="n"/>
      <c r="E242" s="27" t="n"/>
      <c r="F242" s="25" t="n"/>
      <c r="G242" s="27" t="n"/>
      <c r="H242" s="26" t="n"/>
      <c r="I242" s="27" t="n"/>
      <c r="J242" s="27" t="n"/>
      <c r="K242" s="27" t="n"/>
      <c r="L242" s="28" t="n"/>
      <c r="M242" s="27" t="n"/>
      <c r="N242" s="27" t="n"/>
      <c r="O242" s="27">
        <f>IF(AND(M242="",N242=""),"",IF(OR(M242="No Hit",N242="No Hit"),"Loss",IF(AND(M242="Hit",N242="Hit"),"Win","Pending")))</f>
        <v/>
      </c>
      <c r="P242" s="28">
        <f>IF(OR(K242="",L242=""),"",IF(K242&gt;0,L242*(K242/100),L242*(100/(-K242))))</f>
        <v/>
      </c>
      <c r="Q242" s="29">
        <f>IF(O242="Win",P242,IF(O242="Loss",-L242,""))</f>
        <v/>
      </c>
      <c r="R242" s="29">
        <f>IF(Q242="","",SUM($Q$2:Q242))</f>
        <v/>
      </c>
      <c r="S242" s="25" t="n"/>
    </row>
    <row r="243">
      <c r="A243" s="24" t="n"/>
      <c r="B243" s="25" t="n"/>
      <c r="C243" s="27" t="n"/>
      <c r="D243" s="26" t="n"/>
      <c r="E243" s="27" t="n"/>
      <c r="F243" s="25" t="n"/>
      <c r="G243" s="27" t="n"/>
      <c r="H243" s="26" t="n"/>
      <c r="I243" s="27" t="n"/>
      <c r="J243" s="27" t="n"/>
      <c r="K243" s="27" t="n"/>
      <c r="L243" s="28" t="n"/>
      <c r="M243" s="27" t="n"/>
      <c r="N243" s="27" t="n"/>
      <c r="O243" s="27">
        <f>IF(AND(M243="",N243=""),"",IF(OR(M243="No Hit",N243="No Hit"),"Loss",IF(AND(M243="Hit",N243="Hit"),"Win","Pending")))</f>
        <v/>
      </c>
      <c r="P243" s="28">
        <f>IF(OR(K243="",L243=""),"",IF(K243&gt;0,L243*(K243/100),L243*(100/(-K243))))</f>
        <v/>
      </c>
      <c r="Q243" s="29">
        <f>IF(O243="Win",P243,IF(O243="Loss",-L243,""))</f>
        <v/>
      </c>
      <c r="R243" s="29">
        <f>IF(Q243="","",SUM($Q$2:Q243))</f>
        <v/>
      </c>
      <c r="S243" s="25" t="n"/>
    </row>
    <row r="244">
      <c r="A244" s="24" t="n"/>
      <c r="B244" s="25" t="n"/>
      <c r="C244" s="27" t="n"/>
      <c r="D244" s="26" t="n"/>
      <c r="E244" s="27" t="n"/>
      <c r="F244" s="25" t="n"/>
      <c r="G244" s="27" t="n"/>
      <c r="H244" s="26" t="n"/>
      <c r="I244" s="27" t="n"/>
      <c r="J244" s="27" t="n"/>
      <c r="K244" s="27" t="n"/>
      <c r="L244" s="28" t="n"/>
      <c r="M244" s="27" t="n"/>
      <c r="N244" s="27" t="n"/>
      <c r="O244" s="27">
        <f>IF(AND(M244="",N244=""),"",IF(OR(M244="No Hit",N244="No Hit"),"Loss",IF(AND(M244="Hit",N244="Hit"),"Win","Pending")))</f>
        <v/>
      </c>
      <c r="P244" s="28">
        <f>IF(OR(K244="",L244=""),"",IF(K244&gt;0,L244*(K244/100),L244*(100/(-K244))))</f>
        <v/>
      </c>
      <c r="Q244" s="29">
        <f>IF(O244="Win",P244,IF(O244="Loss",-L244,""))</f>
        <v/>
      </c>
      <c r="R244" s="29">
        <f>IF(Q244="","",SUM($Q$2:Q244))</f>
        <v/>
      </c>
      <c r="S244" s="25" t="n"/>
    </row>
    <row r="245">
      <c r="A245" s="24" t="n"/>
      <c r="B245" s="25" t="n"/>
      <c r="C245" s="27" t="n"/>
      <c r="D245" s="26" t="n"/>
      <c r="E245" s="27" t="n"/>
      <c r="F245" s="25" t="n"/>
      <c r="G245" s="27" t="n"/>
      <c r="H245" s="26" t="n"/>
      <c r="I245" s="27" t="n"/>
      <c r="J245" s="27" t="n"/>
      <c r="K245" s="27" t="n"/>
      <c r="L245" s="28" t="n"/>
      <c r="M245" s="27" t="n"/>
      <c r="N245" s="27" t="n"/>
      <c r="O245" s="27">
        <f>IF(AND(M245="",N245=""),"",IF(OR(M245="No Hit",N245="No Hit"),"Loss",IF(AND(M245="Hit",N245="Hit"),"Win","Pending")))</f>
        <v/>
      </c>
      <c r="P245" s="28">
        <f>IF(OR(K245="",L245=""),"",IF(K245&gt;0,L245*(K245/100),L245*(100/(-K245))))</f>
        <v/>
      </c>
      <c r="Q245" s="29">
        <f>IF(O245="Win",P245,IF(O245="Loss",-L245,""))</f>
        <v/>
      </c>
      <c r="R245" s="29">
        <f>IF(Q245="","",SUM($Q$2:Q245))</f>
        <v/>
      </c>
      <c r="S245" s="25" t="n"/>
    </row>
    <row r="246">
      <c r="A246" s="24" t="n"/>
      <c r="B246" s="25" t="n"/>
      <c r="C246" s="27" t="n"/>
      <c r="D246" s="26" t="n"/>
      <c r="E246" s="27" t="n"/>
      <c r="F246" s="25" t="n"/>
      <c r="G246" s="27" t="n"/>
      <c r="H246" s="26" t="n"/>
      <c r="I246" s="27" t="n"/>
      <c r="J246" s="27" t="n"/>
      <c r="K246" s="27" t="n"/>
      <c r="L246" s="28" t="n"/>
      <c r="M246" s="27" t="n"/>
      <c r="N246" s="27" t="n"/>
      <c r="O246" s="27">
        <f>IF(AND(M246="",N246=""),"",IF(OR(M246="No Hit",N246="No Hit"),"Loss",IF(AND(M246="Hit",N246="Hit"),"Win","Pending")))</f>
        <v/>
      </c>
      <c r="P246" s="28">
        <f>IF(OR(K246="",L246=""),"",IF(K246&gt;0,L246*(K246/100),L246*(100/(-K246))))</f>
        <v/>
      </c>
      <c r="Q246" s="29">
        <f>IF(O246="Win",P246,IF(O246="Loss",-L246,""))</f>
        <v/>
      </c>
      <c r="R246" s="29">
        <f>IF(Q246="","",SUM($Q$2:Q246))</f>
        <v/>
      </c>
      <c r="S246" s="25" t="n"/>
    </row>
    <row r="247">
      <c r="A247" s="24" t="n"/>
      <c r="B247" s="25" t="n"/>
      <c r="C247" s="27" t="n"/>
      <c r="D247" s="26" t="n"/>
      <c r="E247" s="27" t="n"/>
      <c r="F247" s="25" t="n"/>
      <c r="G247" s="27" t="n"/>
      <c r="H247" s="26" t="n"/>
      <c r="I247" s="27" t="n"/>
      <c r="J247" s="27" t="n"/>
      <c r="K247" s="27" t="n"/>
      <c r="L247" s="28" t="n"/>
      <c r="M247" s="27" t="n"/>
      <c r="N247" s="27" t="n"/>
      <c r="O247" s="27">
        <f>IF(AND(M247="",N247=""),"",IF(OR(M247="No Hit",N247="No Hit"),"Loss",IF(AND(M247="Hit",N247="Hit"),"Win","Pending")))</f>
        <v/>
      </c>
      <c r="P247" s="28">
        <f>IF(OR(K247="",L247=""),"",IF(K247&gt;0,L247*(K247/100),L247*(100/(-K247))))</f>
        <v/>
      </c>
      <c r="Q247" s="29">
        <f>IF(O247="Win",P247,IF(O247="Loss",-L247,""))</f>
        <v/>
      </c>
      <c r="R247" s="29">
        <f>IF(Q247="","",SUM($Q$2:Q247))</f>
        <v/>
      </c>
      <c r="S247" s="25" t="n"/>
    </row>
    <row r="248">
      <c r="A248" s="24" t="n"/>
      <c r="B248" s="25" t="n"/>
      <c r="C248" s="27" t="n"/>
      <c r="D248" s="26" t="n"/>
      <c r="E248" s="27" t="n"/>
      <c r="F248" s="25" t="n"/>
      <c r="G248" s="27" t="n"/>
      <c r="H248" s="26" t="n"/>
      <c r="I248" s="27" t="n"/>
      <c r="J248" s="27" t="n"/>
      <c r="K248" s="27" t="n"/>
      <c r="L248" s="28" t="n"/>
      <c r="M248" s="27" t="n"/>
      <c r="N248" s="27" t="n"/>
      <c r="O248" s="27">
        <f>IF(AND(M248="",N248=""),"",IF(OR(M248="No Hit",N248="No Hit"),"Loss",IF(AND(M248="Hit",N248="Hit"),"Win","Pending")))</f>
        <v/>
      </c>
      <c r="P248" s="28">
        <f>IF(OR(K248="",L248=""),"",IF(K248&gt;0,L248*(K248/100),L248*(100/(-K248))))</f>
        <v/>
      </c>
      <c r="Q248" s="29">
        <f>IF(O248="Win",P248,IF(O248="Loss",-L248,""))</f>
        <v/>
      </c>
      <c r="R248" s="29">
        <f>IF(Q248="","",SUM($Q$2:Q248))</f>
        <v/>
      </c>
      <c r="S248" s="25" t="n"/>
    </row>
    <row r="249">
      <c r="A249" s="24" t="n"/>
      <c r="B249" s="25" t="n"/>
      <c r="C249" s="27" t="n"/>
      <c r="D249" s="26" t="n"/>
      <c r="E249" s="27" t="n"/>
      <c r="F249" s="25" t="n"/>
      <c r="G249" s="27" t="n"/>
      <c r="H249" s="26" t="n"/>
      <c r="I249" s="27" t="n"/>
      <c r="J249" s="27" t="n"/>
      <c r="K249" s="27" t="n"/>
      <c r="L249" s="28" t="n"/>
      <c r="M249" s="27" t="n"/>
      <c r="N249" s="27" t="n"/>
      <c r="O249" s="27">
        <f>IF(AND(M249="",N249=""),"",IF(OR(M249="No Hit",N249="No Hit"),"Loss",IF(AND(M249="Hit",N249="Hit"),"Win","Pending")))</f>
        <v/>
      </c>
      <c r="P249" s="28">
        <f>IF(OR(K249="",L249=""),"",IF(K249&gt;0,L249*(K249/100),L249*(100/(-K249))))</f>
        <v/>
      </c>
      <c r="Q249" s="29">
        <f>IF(O249="Win",P249,IF(O249="Loss",-L249,""))</f>
        <v/>
      </c>
      <c r="R249" s="29">
        <f>IF(Q249="","",SUM($Q$2:Q249))</f>
        <v/>
      </c>
      <c r="S249" s="25" t="n"/>
    </row>
    <row r="250">
      <c r="A250" s="24" t="n"/>
      <c r="B250" s="25" t="n"/>
      <c r="C250" s="27" t="n"/>
      <c r="D250" s="26" t="n"/>
      <c r="E250" s="27" t="n"/>
      <c r="F250" s="25" t="n"/>
      <c r="G250" s="27" t="n"/>
      <c r="H250" s="26" t="n"/>
      <c r="I250" s="27" t="n"/>
      <c r="J250" s="27" t="n"/>
      <c r="K250" s="27" t="n"/>
      <c r="L250" s="28" t="n"/>
      <c r="M250" s="27" t="n"/>
      <c r="N250" s="27" t="n"/>
      <c r="O250" s="27">
        <f>IF(AND(M250="",N250=""),"",IF(OR(M250="No Hit",N250="No Hit"),"Loss",IF(AND(M250="Hit",N250="Hit"),"Win","Pending")))</f>
        <v/>
      </c>
      <c r="P250" s="28">
        <f>IF(OR(K250="",L250=""),"",IF(K250&gt;0,L250*(K250/100),L250*(100/(-K250))))</f>
        <v/>
      </c>
      <c r="Q250" s="29">
        <f>IF(O250="Win",P250,IF(O250="Loss",-L250,""))</f>
        <v/>
      </c>
      <c r="R250" s="29">
        <f>IF(Q250="","",SUM($Q$2:Q250))</f>
        <v/>
      </c>
      <c r="S250" s="25" t="n"/>
    </row>
    <row r="251">
      <c r="A251" s="24" t="n"/>
      <c r="B251" s="25" t="n"/>
      <c r="C251" s="27" t="n"/>
      <c r="D251" s="26" t="n"/>
      <c r="E251" s="27" t="n"/>
      <c r="F251" s="25" t="n"/>
      <c r="G251" s="27" t="n"/>
      <c r="H251" s="26" t="n"/>
      <c r="I251" s="27" t="n"/>
      <c r="J251" s="27" t="n"/>
      <c r="K251" s="27" t="n"/>
      <c r="L251" s="28" t="n"/>
      <c r="M251" s="27" t="n"/>
      <c r="N251" s="27" t="n"/>
      <c r="O251" s="27">
        <f>IF(AND(M251="",N251=""),"",IF(OR(M251="No Hit",N251="No Hit"),"Loss",IF(AND(M251="Hit",N251="Hit"),"Win","Pending")))</f>
        <v/>
      </c>
      <c r="P251" s="28">
        <f>IF(OR(K251="",L251=""),"",IF(K251&gt;0,L251*(K251/100),L251*(100/(-K251))))</f>
        <v/>
      </c>
      <c r="Q251" s="29">
        <f>IF(O251="Win",P251,IF(O251="Loss",-L251,""))</f>
        <v/>
      </c>
      <c r="R251" s="29">
        <f>IF(Q251="","",SUM($Q$2:Q251))</f>
        <v/>
      </c>
      <c r="S251" s="25" t="n"/>
    </row>
    <row r="252">
      <c r="A252" s="24" t="n"/>
      <c r="B252" s="25" t="n"/>
      <c r="C252" s="27" t="n"/>
      <c r="D252" s="26" t="n"/>
      <c r="E252" s="27" t="n"/>
      <c r="F252" s="25" t="n"/>
      <c r="G252" s="27" t="n"/>
      <c r="H252" s="26" t="n"/>
      <c r="I252" s="27" t="n"/>
      <c r="J252" s="27" t="n"/>
      <c r="K252" s="27" t="n"/>
      <c r="L252" s="28" t="n"/>
      <c r="M252" s="27" t="n"/>
      <c r="N252" s="27" t="n"/>
      <c r="O252" s="27">
        <f>IF(AND(M252="",N252=""),"",IF(OR(M252="No Hit",N252="No Hit"),"Loss",IF(AND(M252="Hit",N252="Hit"),"Win","Pending")))</f>
        <v/>
      </c>
      <c r="P252" s="28">
        <f>IF(OR(K252="",L252=""),"",IF(K252&gt;0,L252*(K252/100),L252*(100/(-K252))))</f>
        <v/>
      </c>
      <c r="Q252" s="29">
        <f>IF(O252="Win",P252,IF(O252="Loss",-L252,""))</f>
        <v/>
      </c>
      <c r="R252" s="29">
        <f>IF(Q252="","",SUM($Q$2:Q252))</f>
        <v/>
      </c>
      <c r="S252" s="25" t="n"/>
    </row>
    <row r="253">
      <c r="A253" s="24" t="n"/>
      <c r="B253" s="25" t="n"/>
      <c r="C253" s="27" t="n"/>
      <c r="D253" s="26" t="n"/>
      <c r="E253" s="27" t="n"/>
      <c r="F253" s="25" t="n"/>
      <c r="G253" s="27" t="n"/>
      <c r="H253" s="26" t="n"/>
      <c r="I253" s="27" t="n"/>
      <c r="J253" s="27" t="n"/>
      <c r="K253" s="27" t="n"/>
      <c r="L253" s="28" t="n"/>
      <c r="M253" s="27" t="n"/>
      <c r="N253" s="27" t="n"/>
      <c r="O253" s="27">
        <f>IF(AND(M253="",N253=""),"",IF(OR(M253="No Hit",N253="No Hit"),"Loss",IF(AND(M253="Hit",N253="Hit"),"Win","Pending")))</f>
        <v/>
      </c>
      <c r="P253" s="28">
        <f>IF(OR(K253="",L253=""),"",IF(K253&gt;0,L253*(K253/100),L253*(100/(-K253))))</f>
        <v/>
      </c>
      <c r="Q253" s="29">
        <f>IF(O253="Win",P253,IF(O253="Loss",-L253,""))</f>
        <v/>
      </c>
      <c r="R253" s="29">
        <f>IF(Q253="","",SUM($Q$2:Q253))</f>
        <v/>
      </c>
      <c r="S253" s="25" t="n"/>
    </row>
    <row r="254">
      <c r="A254" s="24" t="n"/>
      <c r="B254" s="25" t="n"/>
      <c r="C254" s="27" t="n"/>
      <c r="D254" s="26" t="n"/>
      <c r="E254" s="27" t="n"/>
      <c r="F254" s="25" t="n"/>
      <c r="G254" s="27" t="n"/>
      <c r="H254" s="26" t="n"/>
      <c r="I254" s="27" t="n"/>
      <c r="J254" s="27" t="n"/>
      <c r="K254" s="27" t="n"/>
      <c r="L254" s="28" t="n"/>
      <c r="M254" s="27" t="n"/>
      <c r="N254" s="27" t="n"/>
      <c r="O254" s="27">
        <f>IF(AND(M254="",N254=""),"",IF(OR(M254="No Hit",N254="No Hit"),"Loss",IF(AND(M254="Hit",N254="Hit"),"Win","Pending")))</f>
        <v/>
      </c>
      <c r="P254" s="28">
        <f>IF(OR(K254="",L254=""),"",IF(K254&gt;0,L254*(K254/100),L254*(100/(-K254))))</f>
        <v/>
      </c>
      <c r="Q254" s="29">
        <f>IF(O254="Win",P254,IF(O254="Loss",-L254,""))</f>
        <v/>
      </c>
      <c r="R254" s="29">
        <f>IF(Q254="","",SUM($Q$2:Q254))</f>
        <v/>
      </c>
      <c r="S254" s="25" t="n"/>
    </row>
    <row r="255">
      <c r="A255" s="24" t="n"/>
      <c r="B255" s="25" t="n"/>
      <c r="C255" s="27" t="n"/>
      <c r="D255" s="26" t="n"/>
      <c r="E255" s="27" t="n"/>
      <c r="F255" s="25" t="n"/>
      <c r="G255" s="27" t="n"/>
      <c r="H255" s="26" t="n"/>
      <c r="I255" s="27" t="n"/>
      <c r="J255" s="27" t="n"/>
      <c r="K255" s="27" t="n"/>
      <c r="L255" s="28" t="n"/>
      <c r="M255" s="27" t="n"/>
      <c r="N255" s="27" t="n"/>
      <c r="O255" s="27">
        <f>IF(AND(M255="",N255=""),"",IF(OR(M255="No Hit",N255="No Hit"),"Loss",IF(AND(M255="Hit",N255="Hit"),"Win","Pending")))</f>
        <v/>
      </c>
      <c r="P255" s="28">
        <f>IF(OR(K255="",L255=""),"",IF(K255&gt;0,L255*(K255/100),L255*(100/(-K255))))</f>
        <v/>
      </c>
      <c r="Q255" s="29">
        <f>IF(O255="Win",P255,IF(O255="Loss",-L255,""))</f>
        <v/>
      </c>
      <c r="R255" s="29">
        <f>IF(Q255="","",SUM($Q$2:Q255))</f>
        <v/>
      </c>
      <c r="S255" s="25" t="n"/>
    </row>
    <row r="256">
      <c r="A256" s="24" t="n"/>
      <c r="B256" s="25" t="n"/>
      <c r="C256" s="27" t="n"/>
      <c r="D256" s="26" t="n"/>
      <c r="E256" s="27" t="n"/>
      <c r="F256" s="25" t="n"/>
      <c r="G256" s="27" t="n"/>
      <c r="H256" s="26" t="n"/>
      <c r="I256" s="27" t="n"/>
      <c r="J256" s="27" t="n"/>
      <c r="K256" s="27" t="n"/>
      <c r="L256" s="28" t="n"/>
      <c r="M256" s="27" t="n"/>
      <c r="N256" s="27" t="n"/>
      <c r="O256" s="27">
        <f>IF(AND(M256="",N256=""),"",IF(OR(M256="No Hit",N256="No Hit"),"Loss",IF(AND(M256="Hit",N256="Hit"),"Win","Pending")))</f>
        <v/>
      </c>
      <c r="P256" s="28">
        <f>IF(OR(K256="",L256=""),"",IF(K256&gt;0,L256*(K256/100),L256*(100/(-K256))))</f>
        <v/>
      </c>
      <c r="Q256" s="29">
        <f>IF(O256="Win",P256,IF(O256="Loss",-L256,""))</f>
        <v/>
      </c>
      <c r="R256" s="29">
        <f>IF(Q256="","",SUM($Q$2:Q256))</f>
        <v/>
      </c>
      <c r="S256" s="25" t="n"/>
    </row>
    <row r="257">
      <c r="A257" s="24" t="n"/>
      <c r="B257" s="25" t="n"/>
      <c r="C257" s="27" t="n"/>
      <c r="D257" s="26" t="n"/>
      <c r="E257" s="27" t="n"/>
      <c r="F257" s="25" t="n"/>
      <c r="G257" s="27" t="n"/>
      <c r="H257" s="26" t="n"/>
      <c r="I257" s="27" t="n"/>
      <c r="J257" s="27" t="n"/>
      <c r="K257" s="27" t="n"/>
      <c r="L257" s="28" t="n"/>
      <c r="M257" s="27" t="n"/>
      <c r="N257" s="27" t="n"/>
      <c r="O257" s="27">
        <f>IF(AND(M257="",N257=""),"",IF(OR(M257="No Hit",N257="No Hit"),"Loss",IF(AND(M257="Hit",N257="Hit"),"Win","Pending")))</f>
        <v/>
      </c>
      <c r="P257" s="28">
        <f>IF(OR(K257="",L257=""),"",IF(K257&gt;0,L257*(K257/100),L257*(100/(-K257))))</f>
        <v/>
      </c>
      <c r="Q257" s="29">
        <f>IF(O257="Win",P257,IF(O257="Loss",-L257,""))</f>
        <v/>
      </c>
      <c r="R257" s="29">
        <f>IF(Q257="","",SUM($Q$2:Q257))</f>
        <v/>
      </c>
      <c r="S257" s="25" t="n"/>
    </row>
    <row r="258">
      <c r="A258" s="24" t="n"/>
      <c r="B258" s="25" t="n"/>
      <c r="C258" s="27" t="n"/>
      <c r="D258" s="26" t="n"/>
      <c r="E258" s="27" t="n"/>
      <c r="F258" s="25" t="n"/>
      <c r="G258" s="27" t="n"/>
      <c r="H258" s="26" t="n"/>
      <c r="I258" s="27" t="n"/>
      <c r="J258" s="27" t="n"/>
      <c r="K258" s="27" t="n"/>
      <c r="L258" s="28" t="n"/>
      <c r="M258" s="27" t="n"/>
      <c r="N258" s="27" t="n"/>
      <c r="O258" s="27">
        <f>IF(AND(M258="",N258=""),"",IF(OR(M258="No Hit",N258="No Hit"),"Loss",IF(AND(M258="Hit",N258="Hit"),"Win","Pending")))</f>
        <v/>
      </c>
      <c r="P258" s="28">
        <f>IF(OR(K258="",L258=""),"",IF(K258&gt;0,L258*(K258/100),L258*(100/(-K258))))</f>
        <v/>
      </c>
      <c r="Q258" s="29">
        <f>IF(O258="Win",P258,IF(O258="Loss",-L258,""))</f>
        <v/>
      </c>
      <c r="R258" s="29">
        <f>IF(Q258="","",SUM($Q$2:Q258))</f>
        <v/>
      </c>
      <c r="S258" s="25" t="n"/>
    </row>
    <row r="259">
      <c r="A259" s="24" t="n"/>
      <c r="B259" s="25" t="n"/>
      <c r="C259" s="27" t="n"/>
      <c r="D259" s="26" t="n"/>
      <c r="E259" s="27" t="n"/>
      <c r="F259" s="25" t="n"/>
      <c r="G259" s="27" t="n"/>
      <c r="H259" s="26" t="n"/>
      <c r="I259" s="27" t="n"/>
      <c r="J259" s="27" t="n"/>
      <c r="K259" s="27" t="n"/>
      <c r="L259" s="28" t="n"/>
      <c r="M259" s="27" t="n"/>
      <c r="N259" s="27" t="n"/>
      <c r="O259" s="27">
        <f>IF(AND(M259="",N259=""),"",IF(OR(M259="No Hit",N259="No Hit"),"Loss",IF(AND(M259="Hit",N259="Hit"),"Win","Pending")))</f>
        <v/>
      </c>
      <c r="P259" s="28">
        <f>IF(OR(K259="",L259=""),"",IF(K259&gt;0,L259*(K259/100),L259*(100/(-K259))))</f>
        <v/>
      </c>
      <c r="Q259" s="29">
        <f>IF(O259="Win",P259,IF(O259="Loss",-L259,""))</f>
        <v/>
      </c>
      <c r="R259" s="29">
        <f>IF(Q259="","",SUM($Q$2:Q259))</f>
        <v/>
      </c>
      <c r="S259" s="25" t="n"/>
    </row>
    <row r="260">
      <c r="A260" s="24" t="n"/>
      <c r="B260" s="25" t="n"/>
      <c r="C260" s="27" t="n"/>
      <c r="D260" s="26" t="n"/>
      <c r="E260" s="27" t="n"/>
      <c r="F260" s="25" t="n"/>
      <c r="G260" s="27" t="n"/>
      <c r="H260" s="26" t="n"/>
      <c r="I260" s="27" t="n"/>
      <c r="J260" s="27" t="n"/>
      <c r="K260" s="27" t="n"/>
      <c r="L260" s="28" t="n"/>
      <c r="M260" s="27" t="n"/>
      <c r="N260" s="27" t="n"/>
      <c r="O260" s="27">
        <f>IF(AND(M260="",N260=""),"",IF(OR(M260="No Hit",N260="No Hit"),"Loss",IF(AND(M260="Hit",N260="Hit"),"Win","Pending")))</f>
        <v/>
      </c>
      <c r="P260" s="28">
        <f>IF(OR(K260="",L260=""),"",IF(K260&gt;0,L260*(K260/100),L260*(100/(-K260))))</f>
        <v/>
      </c>
      <c r="Q260" s="29">
        <f>IF(O260="Win",P260,IF(O260="Loss",-L260,""))</f>
        <v/>
      </c>
      <c r="R260" s="29">
        <f>IF(Q260="","",SUM($Q$2:Q260))</f>
        <v/>
      </c>
      <c r="S260" s="25" t="n"/>
    </row>
    <row r="261">
      <c r="A261" s="24" t="n"/>
      <c r="B261" s="25" t="n"/>
      <c r="C261" s="27" t="n"/>
      <c r="D261" s="26" t="n"/>
      <c r="E261" s="27" t="n"/>
      <c r="F261" s="25" t="n"/>
      <c r="G261" s="27" t="n"/>
      <c r="H261" s="26" t="n"/>
      <c r="I261" s="27" t="n"/>
      <c r="J261" s="27" t="n"/>
      <c r="K261" s="27" t="n"/>
      <c r="L261" s="28" t="n"/>
      <c r="M261" s="27" t="n"/>
      <c r="N261" s="27" t="n"/>
      <c r="O261" s="27">
        <f>IF(AND(M261="",N261=""),"",IF(OR(M261="No Hit",N261="No Hit"),"Loss",IF(AND(M261="Hit",N261="Hit"),"Win","Pending")))</f>
        <v/>
      </c>
      <c r="P261" s="28">
        <f>IF(OR(K261="",L261=""),"",IF(K261&gt;0,L261*(K261/100),L261*(100/(-K261))))</f>
        <v/>
      </c>
      <c r="Q261" s="29">
        <f>IF(O261="Win",P261,IF(O261="Loss",-L261,""))</f>
        <v/>
      </c>
      <c r="R261" s="29">
        <f>IF(Q261="","",SUM($Q$2:Q261))</f>
        <v/>
      </c>
      <c r="S261" s="25" t="n"/>
    </row>
    <row r="262">
      <c r="A262" s="24" t="n"/>
      <c r="B262" s="25" t="n"/>
      <c r="C262" s="27" t="n"/>
      <c r="D262" s="26" t="n"/>
      <c r="E262" s="27" t="n"/>
      <c r="F262" s="25" t="n"/>
      <c r="G262" s="27" t="n"/>
      <c r="H262" s="26" t="n"/>
      <c r="I262" s="27" t="n"/>
      <c r="J262" s="27" t="n"/>
      <c r="K262" s="27" t="n"/>
      <c r="L262" s="28" t="n"/>
      <c r="M262" s="27" t="n"/>
      <c r="N262" s="27" t="n"/>
      <c r="O262" s="27">
        <f>IF(AND(M262="",N262=""),"",IF(OR(M262="No Hit",N262="No Hit"),"Loss",IF(AND(M262="Hit",N262="Hit"),"Win","Pending")))</f>
        <v/>
      </c>
      <c r="P262" s="28">
        <f>IF(OR(K262="",L262=""),"",IF(K262&gt;0,L262*(K262/100),L262*(100/(-K262))))</f>
        <v/>
      </c>
      <c r="Q262" s="29">
        <f>IF(O262="Win",P262,IF(O262="Loss",-L262,""))</f>
        <v/>
      </c>
      <c r="R262" s="29">
        <f>IF(Q262="","",SUM($Q$2:Q262))</f>
        <v/>
      </c>
      <c r="S262" s="25" t="n"/>
    </row>
    <row r="263">
      <c r="A263" s="24" t="n"/>
      <c r="B263" s="25" t="n"/>
      <c r="C263" s="27" t="n"/>
      <c r="D263" s="26" t="n"/>
      <c r="E263" s="27" t="n"/>
      <c r="F263" s="25" t="n"/>
      <c r="G263" s="27" t="n"/>
      <c r="H263" s="26" t="n"/>
      <c r="I263" s="27" t="n"/>
      <c r="J263" s="27" t="n"/>
      <c r="K263" s="27" t="n"/>
      <c r="L263" s="28" t="n"/>
      <c r="M263" s="27" t="n"/>
      <c r="N263" s="27" t="n"/>
      <c r="O263" s="27">
        <f>IF(AND(M263="",N263=""),"",IF(OR(M263="No Hit",N263="No Hit"),"Loss",IF(AND(M263="Hit",N263="Hit"),"Win","Pending")))</f>
        <v/>
      </c>
      <c r="P263" s="28">
        <f>IF(OR(K263="",L263=""),"",IF(K263&gt;0,L263*(K263/100),L263*(100/(-K263))))</f>
        <v/>
      </c>
      <c r="Q263" s="29">
        <f>IF(O263="Win",P263,IF(O263="Loss",-L263,""))</f>
        <v/>
      </c>
      <c r="R263" s="29">
        <f>IF(Q263="","",SUM($Q$2:Q263))</f>
        <v/>
      </c>
      <c r="S263" s="25" t="n"/>
    </row>
    <row r="264">
      <c r="A264" s="24" t="n"/>
      <c r="B264" s="25" t="n"/>
      <c r="C264" s="27" t="n"/>
      <c r="D264" s="26" t="n"/>
      <c r="E264" s="27" t="n"/>
      <c r="F264" s="25" t="n"/>
      <c r="G264" s="27" t="n"/>
      <c r="H264" s="26" t="n"/>
      <c r="I264" s="27" t="n"/>
      <c r="J264" s="27" t="n"/>
      <c r="K264" s="27" t="n"/>
      <c r="L264" s="28" t="n"/>
      <c r="M264" s="27" t="n"/>
      <c r="N264" s="27" t="n"/>
      <c r="O264" s="27">
        <f>IF(AND(M264="",N264=""),"",IF(OR(M264="No Hit",N264="No Hit"),"Loss",IF(AND(M264="Hit",N264="Hit"),"Win","Pending")))</f>
        <v/>
      </c>
      <c r="P264" s="28">
        <f>IF(OR(K264="",L264=""),"",IF(K264&gt;0,L264*(K264/100),L264*(100/(-K264))))</f>
        <v/>
      </c>
      <c r="Q264" s="29">
        <f>IF(O264="Win",P264,IF(O264="Loss",-L264,""))</f>
        <v/>
      </c>
      <c r="R264" s="29">
        <f>IF(Q264="","",SUM($Q$2:Q264))</f>
        <v/>
      </c>
      <c r="S264" s="25" t="n"/>
    </row>
    <row r="265">
      <c r="A265" s="24" t="n"/>
      <c r="B265" s="25" t="n"/>
      <c r="C265" s="27" t="n"/>
      <c r="D265" s="26" t="n"/>
      <c r="E265" s="27" t="n"/>
      <c r="F265" s="25" t="n"/>
      <c r="G265" s="27" t="n"/>
      <c r="H265" s="26" t="n"/>
      <c r="I265" s="27" t="n"/>
      <c r="J265" s="27" t="n"/>
      <c r="K265" s="27" t="n"/>
      <c r="L265" s="28" t="n"/>
      <c r="M265" s="27" t="n"/>
      <c r="N265" s="27" t="n"/>
      <c r="O265" s="27">
        <f>IF(AND(M265="",N265=""),"",IF(OR(M265="No Hit",N265="No Hit"),"Loss",IF(AND(M265="Hit",N265="Hit"),"Win","Pending")))</f>
        <v/>
      </c>
      <c r="P265" s="28">
        <f>IF(OR(K265="",L265=""),"",IF(K265&gt;0,L265*(K265/100),L265*(100/(-K265))))</f>
        <v/>
      </c>
      <c r="Q265" s="29">
        <f>IF(O265="Win",P265,IF(O265="Loss",-L265,""))</f>
        <v/>
      </c>
      <c r="R265" s="29">
        <f>IF(Q265="","",SUM($Q$2:Q265))</f>
        <v/>
      </c>
      <c r="S265" s="25" t="n"/>
    </row>
    <row r="266">
      <c r="A266" s="24" t="n"/>
      <c r="B266" s="25" t="n"/>
      <c r="C266" s="27" t="n"/>
      <c r="D266" s="26" t="n"/>
      <c r="E266" s="27" t="n"/>
      <c r="F266" s="25" t="n"/>
      <c r="G266" s="27" t="n"/>
      <c r="H266" s="26" t="n"/>
      <c r="I266" s="27" t="n"/>
      <c r="J266" s="27" t="n"/>
      <c r="K266" s="27" t="n"/>
      <c r="L266" s="28" t="n"/>
      <c r="M266" s="27" t="n"/>
      <c r="N266" s="27" t="n"/>
      <c r="O266" s="27">
        <f>IF(AND(M266="",N266=""),"",IF(OR(M266="No Hit",N266="No Hit"),"Loss",IF(AND(M266="Hit",N266="Hit"),"Win","Pending")))</f>
        <v/>
      </c>
      <c r="P266" s="28">
        <f>IF(OR(K266="",L266=""),"",IF(K266&gt;0,L266*(K266/100),L266*(100/(-K266))))</f>
        <v/>
      </c>
      <c r="Q266" s="29">
        <f>IF(O266="Win",P266,IF(O266="Loss",-L266,""))</f>
        <v/>
      </c>
      <c r="R266" s="29">
        <f>IF(Q266="","",SUM($Q$2:Q266))</f>
        <v/>
      </c>
      <c r="S266" s="25" t="n"/>
    </row>
    <row r="267">
      <c r="A267" s="24" t="n"/>
      <c r="B267" s="25" t="n"/>
      <c r="C267" s="27" t="n"/>
      <c r="D267" s="26" t="n"/>
      <c r="E267" s="27" t="n"/>
      <c r="F267" s="25" t="n"/>
      <c r="G267" s="27" t="n"/>
      <c r="H267" s="26" t="n"/>
      <c r="I267" s="27" t="n"/>
      <c r="J267" s="27" t="n"/>
      <c r="K267" s="27" t="n"/>
      <c r="L267" s="28" t="n"/>
      <c r="M267" s="27" t="n"/>
      <c r="N267" s="27" t="n"/>
      <c r="O267" s="27">
        <f>IF(AND(M267="",N267=""),"",IF(OR(M267="No Hit",N267="No Hit"),"Loss",IF(AND(M267="Hit",N267="Hit"),"Win","Pending")))</f>
        <v/>
      </c>
      <c r="P267" s="28">
        <f>IF(OR(K267="",L267=""),"",IF(K267&gt;0,L267*(K267/100),L267*(100/(-K267))))</f>
        <v/>
      </c>
      <c r="Q267" s="29">
        <f>IF(O267="Win",P267,IF(O267="Loss",-L267,""))</f>
        <v/>
      </c>
      <c r="R267" s="29">
        <f>IF(Q267="","",SUM($Q$2:Q267))</f>
        <v/>
      </c>
      <c r="S267" s="25" t="n"/>
    </row>
    <row r="268">
      <c r="A268" s="24" t="n"/>
      <c r="B268" s="25" t="n"/>
      <c r="C268" s="27" t="n"/>
      <c r="D268" s="26" t="n"/>
      <c r="E268" s="27" t="n"/>
      <c r="F268" s="25" t="n"/>
      <c r="G268" s="27" t="n"/>
      <c r="H268" s="26" t="n"/>
      <c r="I268" s="27" t="n"/>
      <c r="J268" s="27" t="n"/>
      <c r="K268" s="27" t="n"/>
      <c r="L268" s="28" t="n"/>
      <c r="M268" s="27" t="n"/>
      <c r="N268" s="27" t="n"/>
      <c r="O268" s="27">
        <f>IF(AND(M268="",N268=""),"",IF(OR(M268="No Hit",N268="No Hit"),"Loss",IF(AND(M268="Hit",N268="Hit"),"Win","Pending")))</f>
        <v/>
      </c>
      <c r="P268" s="28">
        <f>IF(OR(K268="",L268=""),"",IF(K268&gt;0,L268*(K268/100),L268*(100/(-K268))))</f>
        <v/>
      </c>
      <c r="Q268" s="29">
        <f>IF(O268="Win",P268,IF(O268="Loss",-L268,""))</f>
        <v/>
      </c>
      <c r="R268" s="29">
        <f>IF(Q268="","",SUM($Q$2:Q268))</f>
        <v/>
      </c>
      <c r="S268" s="25" t="n"/>
    </row>
    <row r="269">
      <c r="A269" s="24" t="n"/>
      <c r="B269" s="25" t="n"/>
      <c r="C269" s="27" t="n"/>
      <c r="D269" s="26" t="n"/>
      <c r="E269" s="27" t="n"/>
      <c r="F269" s="25" t="n"/>
      <c r="G269" s="27" t="n"/>
      <c r="H269" s="26" t="n"/>
      <c r="I269" s="27" t="n"/>
      <c r="J269" s="27" t="n"/>
      <c r="K269" s="27" t="n"/>
      <c r="L269" s="28" t="n"/>
      <c r="M269" s="27" t="n"/>
      <c r="N269" s="27" t="n"/>
      <c r="O269" s="27">
        <f>IF(AND(M269="",N269=""),"",IF(OR(M269="No Hit",N269="No Hit"),"Loss",IF(AND(M269="Hit",N269="Hit"),"Win","Pending")))</f>
        <v/>
      </c>
      <c r="P269" s="28">
        <f>IF(OR(K269="",L269=""),"",IF(K269&gt;0,L269*(K269/100),L269*(100/(-K269))))</f>
        <v/>
      </c>
      <c r="Q269" s="29">
        <f>IF(O269="Win",P269,IF(O269="Loss",-L269,""))</f>
        <v/>
      </c>
      <c r="R269" s="29">
        <f>IF(Q269="","",SUM($Q$2:Q269))</f>
        <v/>
      </c>
      <c r="S269" s="25" t="n"/>
    </row>
    <row r="270">
      <c r="A270" s="24" t="n"/>
      <c r="B270" s="25" t="n"/>
      <c r="C270" s="27" t="n"/>
      <c r="D270" s="26" t="n"/>
      <c r="E270" s="27" t="n"/>
      <c r="F270" s="25" t="n"/>
      <c r="G270" s="27" t="n"/>
      <c r="H270" s="26" t="n"/>
      <c r="I270" s="27" t="n"/>
      <c r="J270" s="27" t="n"/>
      <c r="K270" s="27" t="n"/>
      <c r="L270" s="28" t="n"/>
      <c r="M270" s="27" t="n"/>
      <c r="N270" s="27" t="n"/>
      <c r="O270" s="27">
        <f>IF(AND(M270="",N270=""),"",IF(OR(M270="No Hit",N270="No Hit"),"Loss",IF(AND(M270="Hit",N270="Hit"),"Win","Pending")))</f>
        <v/>
      </c>
      <c r="P270" s="28">
        <f>IF(OR(K270="",L270=""),"",IF(K270&gt;0,L270*(K270/100),L270*(100/(-K270))))</f>
        <v/>
      </c>
      <c r="Q270" s="29">
        <f>IF(O270="Win",P270,IF(O270="Loss",-L270,""))</f>
        <v/>
      </c>
      <c r="R270" s="29">
        <f>IF(Q270="","",SUM($Q$2:Q270))</f>
        <v/>
      </c>
      <c r="S270" s="25" t="n"/>
    </row>
    <row r="271">
      <c r="A271" s="24" t="n"/>
      <c r="B271" s="25" t="n"/>
      <c r="C271" s="27" t="n"/>
      <c r="D271" s="26" t="n"/>
      <c r="E271" s="27" t="n"/>
      <c r="F271" s="25" t="n"/>
      <c r="G271" s="27" t="n"/>
      <c r="H271" s="26" t="n"/>
      <c r="I271" s="27" t="n"/>
      <c r="J271" s="27" t="n"/>
      <c r="K271" s="27" t="n"/>
      <c r="L271" s="28" t="n"/>
      <c r="M271" s="27" t="n"/>
      <c r="N271" s="27" t="n"/>
      <c r="O271" s="27">
        <f>IF(AND(M271="",N271=""),"",IF(OR(M271="No Hit",N271="No Hit"),"Loss",IF(AND(M271="Hit",N271="Hit"),"Win","Pending")))</f>
        <v/>
      </c>
      <c r="P271" s="28">
        <f>IF(OR(K271="",L271=""),"",IF(K271&gt;0,L271*(K271/100),L271*(100/(-K271))))</f>
        <v/>
      </c>
      <c r="Q271" s="29">
        <f>IF(O271="Win",P271,IF(O271="Loss",-L271,""))</f>
        <v/>
      </c>
      <c r="R271" s="29">
        <f>IF(Q271="","",SUM($Q$2:Q271))</f>
        <v/>
      </c>
      <c r="S271" s="25" t="n"/>
    </row>
    <row r="272">
      <c r="A272" s="24" t="n"/>
      <c r="B272" s="25" t="n"/>
      <c r="C272" s="27" t="n"/>
      <c r="D272" s="26" t="n"/>
      <c r="E272" s="27" t="n"/>
      <c r="F272" s="25" t="n"/>
      <c r="G272" s="27" t="n"/>
      <c r="H272" s="26" t="n"/>
      <c r="I272" s="27" t="n"/>
      <c r="J272" s="27" t="n"/>
      <c r="K272" s="27" t="n"/>
      <c r="L272" s="28" t="n"/>
      <c r="M272" s="27" t="n"/>
      <c r="N272" s="27" t="n"/>
      <c r="O272" s="27">
        <f>IF(AND(M272="",N272=""),"",IF(OR(M272="No Hit",N272="No Hit"),"Loss",IF(AND(M272="Hit",N272="Hit"),"Win","Pending")))</f>
        <v/>
      </c>
      <c r="P272" s="28">
        <f>IF(OR(K272="",L272=""),"",IF(K272&gt;0,L272*(K272/100),L272*(100/(-K272))))</f>
        <v/>
      </c>
      <c r="Q272" s="29">
        <f>IF(O272="Win",P272,IF(O272="Loss",-L272,""))</f>
        <v/>
      </c>
      <c r="R272" s="29">
        <f>IF(Q272="","",SUM($Q$2:Q272))</f>
        <v/>
      </c>
      <c r="S272" s="25" t="n"/>
    </row>
    <row r="273">
      <c r="A273" s="24" t="n"/>
      <c r="B273" s="25" t="n"/>
      <c r="C273" s="27" t="n"/>
      <c r="D273" s="26" t="n"/>
      <c r="E273" s="27" t="n"/>
      <c r="F273" s="25" t="n"/>
      <c r="G273" s="27" t="n"/>
      <c r="H273" s="26" t="n"/>
      <c r="I273" s="27" t="n"/>
      <c r="J273" s="27" t="n"/>
      <c r="K273" s="27" t="n"/>
      <c r="L273" s="28" t="n"/>
      <c r="M273" s="27" t="n"/>
      <c r="N273" s="27" t="n"/>
      <c r="O273" s="27">
        <f>IF(AND(M273="",N273=""),"",IF(OR(M273="No Hit",N273="No Hit"),"Loss",IF(AND(M273="Hit",N273="Hit"),"Win","Pending")))</f>
        <v/>
      </c>
      <c r="P273" s="28">
        <f>IF(OR(K273="",L273=""),"",IF(K273&gt;0,L273*(K273/100),L273*(100/(-K273))))</f>
        <v/>
      </c>
      <c r="Q273" s="29">
        <f>IF(O273="Win",P273,IF(O273="Loss",-L273,""))</f>
        <v/>
      </c>
      <c r="R273" s="29">
        <f>IF(Q273="","",SUM($Q$2:Q273))</f>
        <v/>
      </c>
      <c r="S273" s="25" t="n"/>
    </row>
    <row r="274">
      <c r="A274" s="24" t="n"/>
      <c r="B274" s="25" t="n"/>
      <c r="C274" s="27" t="n"/>
      <c r="D274" s="26" t="n"/>
      <c r="E274" s="27" t="n"/>
      <c r="F274" s="25" t="n"/>
      <c r="G274" s="27" t="n"/>
      <c r="H274" s="26" t="n"/>
      <c r="I274" s="27" t="n"/>
      <c r="J274" s="27" t="n"/>
      <c r="K274" s="27" t="n"/>
      <c r="L274" s="28" t="n"/>
      <c r="M274" s="27" t="n"/>
      <c r="N274" s="27" t="n"/>
      <c r="O274" s="27">
        <f>IF(AND(M274="",N274=""),"",IF(OR(M274="No Hit",N274="No Hit"),"Loss",IF(AND(M274="Hit",N274="Hit"),"Win","Pending")))</f>
        <v/>
      </c>
      <c r="P274" s="28">
        <f>IF(OR(K274="",L274=""),"",IF(K274&gt;0,L274*(K274/100),L274*(100/(-K274))))</f>
        <v/>
      </c>
      <c r="Q274" s="29">
        <f>IF(O274="Win",P274,IF(O274="Loss",-L274,""))</f>
        <v/>
      </c>
      <c r="R274" s="29">
        <f>IF(Q274="","",SUM($Q$2:Q274))</f>
        <v/>
      </c>
      <c r="S274" s="25" t="n"/>
    </row>
    <row r="275">
      <c r="A275" s="24" t="n"/>
      <c r="B275" s="25" t="n"/>
      <c r="C275" s="27" t="n"/>
      <c r="D275" s="26" t="n"/>
      <c r="E275" s="27" t="n"/>
      <c r="F275" s="25" t="n"/>
      <c r="G275" s="27" t="n"/>
      <c r="H275" s="26" t="n"/>
      <c r="I275" s="27" t="n"/>
      <c r="J275" s="27" t="n"/>
      <c r="K275" s="27" t="n"/>
      <c r="L275" s="28" t="n"/>
      <c r="M275" s="27" t="n"/>
      <c r="N275" s="27" t="n"/>
      <c r="O275" s="27">
        <f>IF(AND(M275="",N275=""),"",IF(OR(M275="No Hit",N275="No Hit"),"Loss",IF(AND(M275="Hit",N275="Hit"),"Win","Pending")))</f>
        <v/>
      </c>
      <c r="P275" s="28">
        <f>IF(OR(K275="",L275=""),"",IF(K275&gt;0,L275*(K275/100),L275*(100/(-K275))))</f>
        <v/>
      </c>
      <c r="Q275" s="29">
        <f>IF(O275="Win",P275,IF(O275="Loss",-L275,""))</f>
        <v/>
      </c>
      <c r="R275" s="29">
        <f>IF(Q275="","",SUM($Q$2:Q275))</f>
        <v/>
      </c>
      <c r="S275" s="25" t="n"/>
    </row>
    <row r="276">
      <c r="A276" s="24" t="n"/>
      <c r="B276" s="25" t="n"/>
      <c r="C276" s="27" t="n"/>
      <c r="D276" s="26" t="n"/>
      <c r="E276" s="27" t="n"/>
      <c r="F276" s="25" t="n"/>
      <c r="G276" s="27" t="n"/>
      <c r="H276" s="26" t="n"/>
      <c r="I276" s="27" t="n"/>
      <c r="J276" s="27" t="n"/>
      <c r="K276" s="27" t="n"/>
      <c r="L276" s="28" t="n"/>
      <c r="M276" s="27" t="n"/>
      <c r="N276" s="27" t="n"/>
      <c r="O276" s="27">
        <f>IF(AND(M276="",N276=""),"",IF(OR(M276="No Hit",N276="No Hit"),"Loss",IF(AND(M276="Hit",N276="Hit"),"Win","Pending")))</f>
        <v/>
      </c>
      <c r="P276" s="28">
        <f>IF(OR(K276="",L276=""),"",IF(K276&gt;0,L276*(K276/100),L276*(100/(-K276))))</f>
        <v/>
      </c>
      <c r="Q276" s="29">
        <f>IF(O276="Win",P276,IF(O276="Loss",-L276,""))</f>
        <v/>
      </c>
      <c r="R276" s="29">
        <f>IF(Q276="","",SUM($Q$2:Q276))</f>
        <v/>
      </c>
      <c r="S276" s="25" t="n"/>
    </row>
    <row r="277">
      <c r="A277" s="24" t="n"/>
      <c r="B277" s="25" t="n"/>
      <c r="C277" s="27" t="n"/>
      <c r="D277" s="26" t="n"/>
      <c r="E277" s="27" t="n"/>
      <c r="F277" s="25" t="n"/>
      <c r="G277" s="27" t="n"/>
      <c r="H277" s="26" t="n"/>
      <c r="I277" s="27" t="n"/>
      <c r="J277" s="27" t="n"/>
      <c r="K277" s="27" t="n"/>
      <c r="L277" s="28" t="n"/>
      <c r="M277" s="27" t="n"/>
      <c r="N277" s="27" t="n"/>
      <c r="O277" s="27">
        <f>IF(AND(M277="",N277=""),"",IF(OR(M277="No Hit",N277="No Hit"),"Loss",IF(AND(M277="Hit",N277="Hit"),"Win","Pending")))</f>
        <v/>
      </c>
      <c r="P277" s="28">
        <f>IF(OR(K277="",L277=""),"",IF(K277&gt;0,L277*(K277/100),L277*(100/(-K277))))</f>
        <v/>
      </c>
      <c r="Q277" s="29">
        <f>IF(O277="Win",P277,IF(O277="Loss",-L277,""))</f>
        <v/>
      </c>
      <c r="R277" s="29">
        <f>IF(Q277="","",SUM($Q$2:Q277))</f>
        <v/>
      </c>
      <c r="S277" s="25" t="n"/>
    </row>
    <row r="278">
      <c r="A278" s="24" t="n"/>
      <c r="B278" s="25" t="n"/>
      <c r="C278" s="27" t="n"/>
      <c r="D278" s="26" t="n"/>
      <c r="E278" s="27" t="n"/>
      <c r="F278" s="25" t="n"/>
      <c r="G278" s="27" t="n"/>
      <c r="H278" s="26" t="n"/>
      <c r="I278" s="27" t="n"/>
      <c r="J278" s="27" t="n"/>
      <c r="K278" s="27" t="n"/>
      <c r="L278" s="28" t="n"/>
      <c r="M278" s="27" t="n"/>
      <c r="N278" s="27" t="n"/>
      <c r="O278" s="27">
        <f>IF(AND(M278="",N278=""),"",IF(OR(M278="No Hit",N278="No Hit"),"Loss",IF(AND(M278="Hit",N278="Hit"),"Win","Pending")))</f>
        <v/>
      </c>
      <c r="P278" s="28">
        <f>IF(OR(K278="",L278=""),"",IF(K278&gt;0,L278*(K278/100),L278*(100/(-K278))))</f>
        <v/>
      </c>
      <c r="Q278" s="29">
        <f>IF(O278="Win",P278,IF(O278="Loss",-L278,""))</f>
        <v/>
      </c>
      <c r="R278" s="29">
        <f>IF(Q278="","",SUM($Q$2:Q278))</f>
        <v/>
      </c>
      <c r="S278" s="25" t="n"/>
    </row>
    <row r="279">
      <c r="A279" s="24" t="n"/>
      <c r="B279" s="25" t="n"/>
      <c r="C279" s="27" t="n"/>
      <c r="D279" s="26" t="n"/>
      <c r="E279" s="27" t="n"/>
      <c r="F279" s="25" t="n"/>
      <c r="G279" s="27" t="n"/>
      <c r="H279" s="26" t="n"/>
      <c r="I279" s="27" t="n"/>
      <c r="J279" s="27" t="n"/>
      <c r="K279" s="27" t="n"/>
      <c r="L279" s="28" t="n"/>
      <c r="M279" s="27" t="n"/>
      <c r="N279" s="27" t="n"/>
      <c r="O279" s="27">
        <f>IF(AND(M279="",N279=""),"",IF(OR(M279="No Hit",N279="No Hit"),"Loss",IF(AND(M279="Hit",N279="Hit"),"Win","Pending")))</f>
        <v/>
      </c>
      <c r="P279" s="28">
        <f>IF(OR(K279="",L279=""),"",IF(K279&gt;0,L279*(K279/100),L279*(100/(-K279))))</f>
        <v/>
      </c>
      <c r="Q279" s="29">
        <f>IF(O279="Win",P279,IF(O279="Loss",-L279,""))</f>
        <v/>
      </c>
      <c r="R279" s="29">
        <f>IF(Q279="","",SUM($Q$2:Q279))</f>
        <v/>
      </c>
      <c r="S279" s="25" t="n"/>
    </row>
    <row r="280">
      <c r="A280" s="24" t="n"/>
      <c r="B280" s="25" t="n"/>
      <c r="C280" s="27" t="n"/>
      <c r="D280" s="26" t="n"/>
      <c r="E280" s="27" t="n"/>
      <c r="F280" s="25" t="n"/>
      <c r="G280" s="27" t="n"/>
      <c r="H280" s="26" t="n"/>
      <c r="I280" s="27" t="n"/>
      <c r="J280" s="27" t="n"/>
      <c r="K280" s="27" t="n"/>
      <c r="L280" s="28" t="n"/>
      <c r="M280" s="27" t="n"/>
      <c r="N280" s="27" t="n"/>
      <c r="O280" s="27">
        <f>IF(AND(M280="",N280=""),"",IF(OR(M280="No Hit",N280="No Hit"),"Loss",IF(AND(M280="Hit",N280="Hit"),"Win","Pending")))</f>
        <v/>
      </c>
      <c r="P280" s="28">
        <f>IF(OR(K280="",L280=""),"",IF(K280&gt;0,L280*(K280/100),L280*(100/(-K280))))</f>
        <v/>
      </c>
      <c r="Q280" s="29">
        <f>IF(O280="Win",P280,IF(O280="Loss",-L280,""))</f>
        <v/>
      </c>
      <c r="R280" s="29">
        <f>IF(Q280="","",SUM($Q$2:Q280))</f>
        <v/>
      </c>
      <c r="S280" s="25" t="n"/>
    </row>
    <row r="281">
      <c r="A281" s="24" t="n"/>
      <c r="B281" s="25" t="n"/>
      <c r="C281" s="27" t="n"/>
      <c r="D281" s="26" t="n"/>
      <c r="E281" s="27" t="n"/>
      <c r="F281" s="25" t="n"/>
      <c r="G281" s="27" t="n"/>
      <c r="H281" s="26" t="n"/>
      <c r="I281" s="27" t="n"/>
      <c r="J281" s="27" t="n"/>
      <c r="K281" s="27" t="n"/>
      <c r="L281" s="28" t="n"/>
      <c r="M281" s="27" t="n"/>
      <c r="N281" s="27" t="n"/>
      <c r="O281" s="27">
        <f>IF(AND(M281="",N281=""),"",IF(OR(M281="No Hit",N281="No Hit"),"Loss",IF(AND(M281="Hit",N281="Hit"),"Win","Pending")))</f>
        <v/>
      </c>
      <c r="P281" s="28">
        <f>IF(OR(K281="",L281=""),"",IF(K281&gt;0,L281*(K281/100),L281*(100/(-K281))))</f>
        <v/>
      </c>
      <c r="Q281" s="29">
        <f>IF(O281="Win",P281,IF(O281="Loss",-L281,""))</f>
        <v/>
      </c>
      <c r="R281" s="29">
        <f>IF(Q281="","",SUM($Q$2:Q281))</f>
        <v/>
      </c>
      <c r="S281" s="25" t="n"/>
    </row>
    <row r="282">
      <c r="A282" s="24" t="n"/>
      <c r="B282" s="25" t="n"/>
      <c r="C282" s="27" t="n"/>
      <c r="D282" s="26" t="n"/>
      <c r="E282" s="27" t="n"/>
      <c r="F282" s="25" t="n"/>
      <c r="G282" s="27" t="n"/>
      <c r="H282" s="26" t="n"/>
      <c r="I282" s="27" t="n"/>
      <c r="J282" s="27" t="n"/>
      <c r="K282" s="27" t="n"/>
      <c r="L282" s="28" t="n"/>
      <c r="M282" s="27" t="n"/>
      <c r="N282" s="27" t="n"/>
      <c r="O282" s="27">
        <f>IF(AND(M282="",N282=""),"",IF(OR(M282="No Hit",N282="No Hit"),"Loss",IF(AND(M282="Hit",N282="Hit"),"Win","Pending")))</f>
        <v/>
      </c>
      <c r="P282" s="28">
        <f>IF(OR(K282="",L282=""),"",IF(K282&gt;0,L282*(K282/100),L282*(100/(-K282))))</f>
        <v/>
      </c>
      <c r="Q282" s="29">
        <f>IF(O282="Win",P282,IF(O282="Loss",-L282,""))</f>
        <v/>
      </c>
      <c r="R282" s="29">
        <f>IF(Q282="","",SUM($Q$2:Q282))</f>
        <v/>
      </c>
      <c r="S282" s="25" t="n"/>
    </row>
    <row r="283">
      <c r="A283" s="24" t="n"/>
      <c r="B283" s="25" t="n"/>
      <c r="C283" s="27" t="n"/>
      <c r="D283" s="26" t="n"/>
      <c r="E283" s="27" t="n"/>
      <c r="F283" s="25" t="n"/>
      <c r="G283" s="27" t="n"/>
      <c r="H283" s="26" t="n"/>
      <c r="I283" s="27" t="n"/>
      <c r="J283" s="27" t="n"/>
      <c r="K283" s="27" t="n"/>
      <c r="L283" s="28" t="n"/>
      <c r="M283" s="27" t="n"/>
      <c r="N283" s="27" t="n"/>
      <c r="O283" s="27">
        <f>IF(AND(M283="",N283=""),"",IF(OR(M283="No Hit",N283="No Hit"),"Loss",IF(AND(M283="Hit",N283="Hit"),"Win","Pending")))</f>
        <v/>
      </c>
      <c r="P283" s="28">
        <f>IF(OR(K283="",L283=""),"",IF(K283&gt;0,L283*(K283/100),L283*(100/(-K283))))</f>
        <v/>
      </c>
      <c r="Q283" s="29">
        <f>IF(O283="Win",P283,IF(O283="Loss",-L283,""))</f>
        <v/>
      </c>
      <c r="R283" s="29">
        <f>IF(Q283="","",SUM($Q$2:Q283))</f>
        <v/>
      </c>
      <c r="S283" s="25" t="n"/>
    </row>
    <row r="284">
      <c r="A284" s="24" t="n"/>
      <c r="B284" s="25" t="n"/>
      <c r="C284" s="27" t="n"/>
      <c r="D284" s="26" t="n"/>
      <c r="E284" s="27" t="n"/>
      <c r="F284" s="25" t="n"/>
      <c r="G284" s="27" t="n"/>
      <c r="H284" s="26" t="n"/>
      <c r="I284" s="27" t="n"/>
      <c r="J284" s="27" t="n"/>
      <c r="K284" s="27" t="n"/>
      <c r="L284" s="28" t="n"/>
      <c r="M284" s="27" t="n"/>
      <c r="N284" s="27" t="n"/>
      <c r="O284" s="27">
        <f>IF(AND(M284="",N284=""),"",IF(OR(M284="No Hit",N284="No Hit"),"Loss",IF(AND(M284="Hit",N284="Hit"),"Win","Pending")))</f>
        <v/>
      </c>
      <c r="P284" s="28">
        <f>IF(OR(K284="",L284=""),"",IF(K284&gt;0,L284*(K284/100),L284*(100/(-K284))))</f>
        <v/>
      </c>
      <c r="Q284" s="29">
        <f>IF(O284="Win",P284,IF(O284="Loss",-L284,""))</f>
        <v/>
      </c>
      <c r="R284" s="29">
        <f>IF(Q284="","",SUM($Q$2:Q284))</f>
        <v/>
      </c>
      <c r="S284" s="25" t="n"/>
    </row>
    <row r="285">
      <c r="A285" s="24" t="n"/>
      <c r="B285" s="25" t="n"/>
      <c r="C285" s="27" t="n"/>
      <c r="D285" s="26" t="n"/>
      <c r="E285" s="27" t="n"/>
      <c r="F285" s="25" t="n"/>
      <c r="G285" s="27" t="n"/>
      <c r="H285" s="26" t="n"/>
      <c r="I285" s="27" t="n"/>
      <c r="J285" s="27" t="n"/>
      <c r="K285" s="27" t="n"/>
      <c r="L285" s="28" t="n"/>
      <c r="M285" s="27" t="n"/>
      <c r="N285" s="27" t="n"/>
      <c r="O285" s="27">
        <f>IF(AND(M285="",N285=""),"",IF(OR(M285="No Hit",N285="No Hit"),"Loss",IF(AND(M285="Hit",N285="Hit"),"Win","Pending")))</f>
        <v/>
      </c>
      <c r="P285" s="28">
        <f>IF(OR(K285="",L285=""),"",IF(K285&gt;0,L285*(K285/100),L285*(100/(-K285))))</f>
        <v/>
      </c>
      <c r="Q285" s="29">
        <f>IF(O285="Win",P285,IF(O285="Loss",-L285,""))</f>
        <v/>
      </c>
      <c r="R285" s="29">
        <f>IF(Q285="","",SUM($Q$2:Q285))</f>
        <v/>
      </c>
      <c r="S285" s="25" t="n"/>
    </row>
    <row r="286">
      <c r="A286" s="24" t="n"/>
      <c r="B286" s="25" t="n"/>
      <c r="C286" s="27" t="n"/>
      <c r="D286" s="26" t="n"/>
      <c r="E286" s="27" t="n"/>
      <c r="F286" s="25" t="n"/>
      <c r="G286" s="27" t="n"/>
      <c r="H286" s="26" t="n"/>
      <c r="I286" s="27" t="n"/>
      <c r="J286" s="27" t="n"/>
      <c r="K286" s="27" t="n"/>
      <c r="L286" s="28" t="n"/>
      <c r="M286" s="27" t="n"/>
      <c r="N286" s="27" t="n"/>
      <c r="O286" s="27">
        <f>IF(AND(M286="",N286=""),"",IF(OR(M286="No Hit",N286="No Hit"),"Loss",IF(AND(M286="Hit",N286="Hit"),"Win","Pending")))</f>
        <v/>
      </c>
      <c r="P286" s="28">
        <f>IF(OR(K286="",L286=""),"",IF(K286&gt;0,L286*(K286/100),L286*(100/(-K286))))</f>
        <v/>
      </c>
      <c r="Q286" s="29">
        <f>IF(O286="Win",P286,IF(O286="Loss",-L286,""))</f>
        <v/>
      </c>
      <c r="R286" s="29">
        <f>IF(Q286="","",SUM($Q$2:Q286))</f>
        <v/>
      </c>
      <c r="S286" s="25" t="n"/>
    </row>
    <row r="287">
      <c r="A287" s="24" t="n"/>
      <c r="B287" s="25" t="n"/>
      <c r="C287" s="27" t="n"/>
      <c r="D287" s="26" t="n"/>
      <c r="E287" s="27" t="n"/>
      <c r="F287" s="25" t="n"/>
      <c r="G287" s="27" t="n"/>
      <c r="H287" s="26" t="n"/>
      <c r="I287" s="27" t="n"/>
      <c r="J287" s="27" t="n"/>
      <c r="K287" s="27" t="n"/>
      <c r="L287" s="28" t="n"/>
      <c r="M287" s="27" t="n"/>
      <c r="N287" s="27" t="n"/>
      <c r="O287" s="27">
        <f>IF(AND(M287="",N287=""),"",IF(OR(M287="No Hit",N287="No Hit"),"Loss",IF(AND(M287="Hit",N287="Hit"),"Win","Pending")))</f>
        <v/>
      </c>
      <c r="P287" s="28">
        <f>IF(OR(K287="",L287=""),"",IF(K287&gt;0,L287*(K287/100),L287*(100/(-K287))))</f>
        <v/>
      </c>
      <c r="Q287" s="29">
        <f>IF(O287="Win",P287,IF(O287="Loss",-L287,""))</f>
        <v/>
      </c>
      <c r="R287" s="29">
        <f>IF(Q287="","",SUM($Q$2:Q287))</f>
        <v/>
      </c>
      <c r="S287" s="25" t="n"/>
    </row>
    <row r="288">
      <c r="A288" s="24" t="n"/>
      <c r="B288" s="25" t="n"/>
      <c r="C288" s="27" t="n"/>
      <c r="D288" s="26" t="n"/>
      <c r="E288" s="27" t="n"/>
      <c r="F288" s="25" t="n"/>
      <c r="G288" s="27" t="n"/>
      <c r="H288" s="26" t="n"/>
      <c r="I288" s="27" t="n"/>
      <c r="J288" s="27" t="n"/>
      <c r="K288" s="27" t="n"/>
      <c r="L288" s="28" t="n"/>
      <c r="M288" s="27" t="n"/>
      <c r="N288" s="27" t="n"/>
      <c r="O288" s="27">
        <f>IF(AND(M288="",N288=""),"",IF(OR(M288="No Hit",N288="No Hit"),"Loss",IF(AND(M288="Hit",N288="Hit"),"Win","Pending")))</f>
        <v/>
      </c>
      <c r="P288" s="28">
        <f>IF(OR(K288="",L288=""),"",IF(K288&gt;0,L288*(K288/100),L288*(100/(-K288))))</f>
        <v/>
      </c>
      <c r="Q288" s="29">
        <f>IF(O288="Win",P288,IF(O288="Loss",-L288,""))</f>
        <v/>
      </c>
      <c r="R288" s="29">
        <f>IF(Q288="","",SUM($Q$2:Q288))</f>
        <v/>
      </c>
      <c r="S288" s="25" t="n"/>
    </row>
    <row r="289">
      <c r="A289" s="24" t="n"/>
      <c r="B289" s="25" t="n"/>
      <c r="C289" s="27" t="n"/>
      <c r="D289" s="26" t="n"/>
      <c r="E289" s="27" t="n"/>
      <c r="F289" s="25" t="n"/>
      <c r="G289" s="27" t="n"/>
      <c r="H289" s="26" t="n"/>
      <c r="I289" s="27" t="n"/>
      <c r="J289" s="27" t="n"/>
      <c r="K289" s="27" t="n"/>
      <c r="L289" s="28" t="n"/>
      <c r="M289" s="27" t="n"/>
      <c r="N289" s="27" t="n"/>
      <c r="O289" s="27">
        <f>IF(AND(M289="",N289=""),"",IF(OR(M289="No Hit",N289="No Hit"),"Loss",IF(AND(M289="Hit",N289="Hit"),"Win","Pending")))</f>
        <v/>
      </c>
      <c r="P289" s="28">
        <f>IF(OR(K289="",L289=""),"",IF(K289&gt;0,L289*(K289/100),L289*(100/(-K289))))</f>
        <v/>
      </c>
      <c r="Q289" s="29">
        <f>IF(O289="Win",P289,IF(O289="Loss",-L289,""))</f>
        <v/>
      </c>
      <c r="R289" s="29">
        <f>IF(Q289="","",SUM($Q$2:Q289))</f>
        <v/>
      </c>
      <c r="S289" s="25" t="n"/>
    </row>
    <row r="290">
      <c r="A290" s="24" t="n"/>
      <c r="B290" s="25" t="n"/>
      <c r="C290" s="27" t="n"/>
      <c r="D290" s="26" t="n"/>
      <c r="E290" s="27" t="n"/>
      <c r="F290" s="25" t="n"/>
      <c r="G290" s="27" t="n"/>
      <c r="H290" s="26" t="n"/>
      <c r="I290" s="27" t="n"/>
      <c r="J290" s="27" t="n"/>
      <c r="K290" s="27" t="n"/>
      <c r="L290" s="28" t="n"/>
      <c r="M290" s="27" t="n"/>
      <c r="N290" s="27" t="n"/>
      <c r="O290" s="27">
        <f>IF(AND(M290="",N290=""),"",IF(OR(M290="No Hit",N290="No Hit"),"Loss",IF(AND(M290="Hit",N290="Hit"),"Win","Pending")))</f>
        <v/>
      </c>
      <c r="P290" s="28">
        <f>IF(OR(K290="",L290=""),"",IF(K290&gt;0,L290*(K290/100),L290*(100/(-K290))))</f>
        <v/>
      </c>
      <c r="Q290" s="29">
        <f>IF(O290="Win",P290,IF(O290="Loss",-L290,""))</f>
        <v/>
      </c>
      <c r="R290" s="29">
        <f>IF(Q290="","",SUM($Q$2:Q290))</f>
        <v/>
      </c>
      <c r="S290" s="25" t="n"/>
    </row>
    <row r="291">
      <c r="A291" s="24" t="n"/>
      <c r="B291" s="25" t="n"/>
      <c r="C291" s="27" t="n"/>
      <c r="D291" s="26" t="n"/>
      <c r="E291" s="27" t="n"/>
      <c r="F291" s="25" t="n"/>
      <c r="G291" s="27" t="n"/>
      <c r="H291" s="26" t="n"/>
      <c r="I291" s="27" t="n"/>
      <c r="J291" s="27" t="n"/>
      <c r="K291" s="27" t="n"/>
      <c r="L291" s="28" t="n"/>
      <c r="M291" s="27" t="n"/>
      <c r="N291" s="27" t="n"/>
      <c r="O291" s="27">
        <f>IF(AND(M291="",N291=""),"",IF(OR(M291="No Hit",N291="No Hit"),"Loss",IF(AND(M291="Hit",N291="Hit"),"Win","Pending")))</f>
        <v/>
      </c>
      <c r="P291" s="28">
        <f>IF(OR(K291="",L291=""),"",IF(K291&gt;0,L291*(K291/100),L291*(100/(-K291))))</f>
        <v/>
      </c>
      <c r="Q291" s="29">
        <f>IF(O291="Win",P291,IF(O291="Loss",-L291,""))</f>
        <v/>
      </c>
      <c r="R291" s="29">
        <f>IF(Q291="","",SUM($Q$2:Q291))</f>
        <v/>
      </c>
      <c r="S291" s="25" t="n"/>
    </row>
    <row r="292">
      <c r="A292" s="24" t="n"/>
      <c r="B292" s="25" t="n"/>
      <c r="C292" s="27" t="n"/>
      <c r="D292" s="26" t="n"/>
      <c r="E292" s="27" t="n"/>
      <c r="F292" s="25" t="n"/>
      <c r="G292" s="27" t="n"/>
      <c r="H292" s="26" t="n"/>
      <c r="I292" s="27" t="n"/>
      <c r="J292" s="27" t="n"/>
      <c r="K292" s="27" t="n"/>
      <c r="L292" s="28" t="n"/>
      <c r="M292" s="27" t="n"/>
      <c r="N292" s="27" t="n"/>
      <c r="O292" s="27">
        <f>IF(AND(M292="",N292=""),"",IF(OR(M292="No Hit",N292="No Hit"),"Loss",IF(AND(M292="Hit",N292="Hit"),"Win","Pending")))</f>
        <v/>
      </c>
      <c r="P292" s="28">
        <f>IF(OR(K292="",L292=""),"",IF(K292&gt;0,L292*(K292/100),L292*(100/(-K292))))</f>
        <v/>
      </c>
      <c r="Q292" s="29">
        <f>IF(O292="Win",P292,IF(O292="Loss",-L292,""))</f>
        <v/>
      </c>
      <c r="R292" s="29">
        <f>IF(Q292="","",SUM($Q$2:Q292))</f>
        <v/>
      </c>
      <c r="S292" s="25" t="n"/>
    </row>
    <row r="293">
      <c r="A293" s="24" t="n"/>
      <c r="B293" s="25" t="n"/>
      <c r="C293" s="27" t="n"/>
      <c r="D293" s="26" t="n"/>
      <c r="E293" s="27" t="n"/>
      <c r="F293" s="25" t="n"/>
      <c r="G293" s="27" t="n"/>
      <c r="H293" s="26" t="n"/>
      <c r="I293" s="27" t="n"/>
      <c r="J293" s="27" t="n"/>
      <c r="K293" s="27" t="n"/>
      <c r="L293" s="28" t="n"/>
      <c r="M293" s="27" t="n"/>
      <c r="N293" s="27" t="n"/>
      <c r="O293" s="27">
        <f>IF(AND(M293="",N293=""),"",IF(OR(M293="No Hit",N293="No Hit"),"Loss",IF(AND(M293="Hit",N293="Hit"),"Win","Pending")))</f>
        <v/>
      </c>
      <c r="P293" s="28">
        <f>IF(OR(K293="",L293=""),"",IF(K293&gt;0,L293*(K293/100),L293*(100/(-K293))))</f>
        <v/>
      </c>
      <c r="Q293" s="29">
        <f>IF(O293="Win",P293,IF(O293="Loss",-L293,""))</f>
        <v/>
      </c>
      <c r="R293" s="29">
        <f>IF(Q293="","",SUM($Q$2:Q293))</f>
        <v/>
      </c>
      <c r="S293" s="25" t="n"/>
    </row>
    <row r="294">
      <c r="A294" s="24" t="n"/>
      <c r="B294" s="25" t="n"/>
      <c r="C294" s="27" t="n"/>
      <c r="D294" s="26" t="n"/>
      <c r="E294" s="27" t="n"/>
      <c r="F294" s="25" t="n"/>
      <c r="G294" s="27" t="n"/>
      <c r="H294" s="26" t="n"/>
      <c r="I294" s="27" t="n"/>
      <c r="J294" s="27" t="n"/>
      <c r="K294" s="27" t="n"/>
      <c r="L294" s="28" t="n"/>
      <c r="M294" s="27" t="n"/>
      <c r="N294" s="27" t="n"/>
      <c r="O294" s="27">
        <f>IF(AND(M294="",N294=""),"",IF(OR(M294="No Hit",N294="No Hit"),"Loss",IF(AND(M294="Hit",N294="Hit"),"Win","Pending")))</f>
        <v/>
      </c>
      <c r="P294" s="28">
        <f>IF(OR(K294="",L294=""),"",IF(K294&gt;0,L294*(K294/100),L294*(100/(-K294))))</f>
        <v/>
      </c>
      <c r="Q294" s="29">
        <f>IF(O294="Win",P294,IF(O294="Loss",-L294,""))</f>
        <v/>
      </c>
      <c r="R294" s="29">
        <f>IF(Q294="","",SUM($Q$2:Q294))</f>
        <v/>
      </c>
      <c r="S294" s="25" t="n"/>
    </row>
    <row r="295">
      <c r="A295" s="24" t="n"/>
      <c r="B295" s="25" t="n"/>
      <c r="C295" s="27" t="n"/>
      <c r="D295" s="26" t="n"/>
      <c r="E295" s="27" t="n"/>
      <c r="F295" s="25" t="n"/>
      <c r="G295" s="27" t="n"/>
      <c r="H295" s="26" t="n"/>
      <c r="I295" s="27" t="n"/>
      <c r="J295" s="27" t="n"/>
      <c r="K295" s="27" t="n"/>
      <c r="L295" s="28" t="n"/>
      <c r="M295" s="27" t="n"/>
      <c r="N295" s="27" t="n"/>
      <c r="O295" s="27">
        <f>IF(AND(M295="",N295=""),"",IF(OR(M295="No Hit",N295="No Hit"),"Loss",IF(AND(M295="Hit",N295="Hit"),"Win","Pending")))</f>
        <v/>
      </c>
      <c r="P295" s="28">
        <f>IF(OR(K295="",L295=""),"",IF(K295&gt;0,L295*(K295/100),L295*(100/(-K295))))</f>
        <v/>
      </c>
      <c r="Q295" s="29">
        <f>IF(O295="Win",P295,IF(O295="Loss",-L295,""))</f>
        <v/>
      </c>
      <c r="R295" s="29">
        <f>IF(Q295="","",SUM($Q$2:Q295))</f>
        <v/>
      </c>
      <c r="S295" s="25" t="n"/>
    </row>
    <row r="296">
      <c r="A296" s="24" t="n"/>
      <c r="B296" s="25" t="n"/>
      <c r="C296" s="27" t="n"/>
      <c r="D296" s="26" t="n"/>
      <c r="E296" s="27" t="n"/>
      <c r="F296" s="25" t="n"/>
      <c r="G296" s="27" t="n"/>
      <c r="H296" s="26" t="n"/>
      <c r="I296" s="27" t="n"/>
      <c r="J296" s="27" t="n"/>
      <c r="K296" s="27" t="n"/>
      <c r="L296" s="28" t="n"/>
      <c r="M296" s="27" t="n"/>
      <c r="N296" s="27" t="n"/>
      <c r="O296" s="27">
        <f>IF(AND(M296="",N296=""),"",IF(OR(M296="No Hit",N296="No Hit"),"Loss",IF(AND(M296="Hit",N296="Hit"),"Win","Pending")))</f>
        <v/>
      </c>
      <c r="P296" s="28">
        <f>IF(OR(K296="",L296=""),"",IF(K296&gt;0,L296*(K296/100),L296*(100/(-K296))))</f>
        <v/>
      </c>
      <c r="Q296" s="29">
        <f>IF(O296="Win",P296,IF(O296="Loss",-L296,""))</f>
        <v/>
      </c>
      <c r="R296" s="29">
        <f>IF(Q296="","",SUM($Q$2:Q296))</f>
        <v/>
      </c>
      <c r="S296" s="25" t="n"/>
    </row>
    <row r="297">
      <c r="A297" s="24" t="n"/>
      <c r="B297" s="25" t="n"/>
      <c r="C297" s="27" t="n"/>
      <c r="D297" s="26" t="n"/>
      <c r="E297" s="27" t="n"/>
      <c r="F297" s="25" t="n"/>
      <c r="G297" s="27" t="n"/>
      <c r="H297" s="26" t="n"/>
      <c r="I297" s="27" t="n"/>
      <c r="J297" s="27" t="n"/>
      <c r="K297" s="27" t="n"/>
      <c r="L297" s="28" t="n"/>
      <c r="M297" s="27" t="n"/>
      <c r="N297" s="27" t="n"/>
      <c r="O297" s="27">
        <f>IF(AND(M297="",N297=""),"",IF(OR(M297="No Hit",N297="No Hit"),"Loss",IF(AND(M297="Hit",N297="Hit"),"Win","Pending")))</f>
        <v/>
      </c>
      <c r="P297" s="28">
        <f>IF(OR(K297="",L297=""),"",IF(K297&gt;0,L297*(K297/100),L297*(100/(-K297))))</f>
        <v/>
      </c>
      <c r="Q297" s="29">
        <f>IF(O297="Win",P297,IF(O297="Loss",-L297,""))</f>
        <v/>
      </c>
      <c r="R297" s="29">
        <f>IF(Q297="","",SUM($Q$2:Q297))</f>
        <v/>
      </c>
      <c r="S297" s="25" t="n"/>
    </row>
    <row r="298">
      <c r="A298" s="24" t="n"/>
      <c r="B298" s="25" t="n"/>
      <c r="C298" s="27" t="n"/>
      <c r="D298" s="26" t="n"/>
      <c r="E298" s="27" t="n"/>
      <c r="F298" s="25" t="n"/>
      <c r="G298" s="27" t="n"/>
      <c r="H298" s="26" t="n"/>
      <c r="I298" s="27" t="n"/>
      <c r="J298" s="27" t="n"/>
      <c r="K298" s="27" t="n"/>
      <c r="L298" s="28" t="n"/>
      <c r="M298" s="27" t="n"/>
      <c r="N298" s="27" t="n"/>
      <c r="O298" s="27">
        <f>IF(AND(M298="",N298=""),"",IF(OR(M298="No Hit",N298="No Hit"),"Loss",IF(AND(M298="Hit",N298="Hit"),"Win","Pending")))</f>
        <v/>
      </c>
      <c r="P298" s="28">
        <f>IF(OR(K298="",L298=""),"",IF(K298&gt;0,L298*(K298/100),L298*(100/(-K298))))</f>
        <v/>
      </c>
      <c r="Q298" s="29">
        <f>IF(O298="Win",P298,IF(O298="Loss",-L298,""))</f>
        <v/>
      </c>
      <c r="R298" s="29">
        <f>IF(Q298="","",SUM($Q$2:Q298))</f>
        <v/>
      </c>
      <c r="S298" s="25" t="n"/>
    </row>
    <row r="299">
      <c r="A299" s="24" t="n"/>
      <c r="B299" s="25" t="n"/>
      <c r="C299" s="27" t="n"/>
      <c r="D299" s="26" t="n"/>
      <c r="E299" s="27" t="n"/>
      <c r="F299" s="25" t="n"/>
      <c r="G299" s="27" t="n"/>
      <c r="H299" s="26" t="n"/>
      <c r="I299" s="27" t="n"/>
      <c r="J299" s="27" t="n"/>
      <c r="K299" s="27" t="n"/>
      <c r="L299" s="28" t="n"/>
      <c r="M299" s="27" t="n"/>
      <c r="N299" s="27" t="n"/>
      <c r="O299" s="27">
        <f>IF(AND(M299="",N299=""),"",IF(OR(M299="No Hit",N299="No Hit"),"Loss",IF(AND(M299="Hit",N299="Hit"),"Win","Pending")))</f>
        <v/>
      </c>
      <c r="P299" s="28">
        <f>IF(OR(K299="",L299=""),"",IF(K299&gt;0,L299*(K299/100),L299*(100/(-K299))))</f>
        <v/>
      </c>
      <c r="Q299" s="29">
        <f>IF(O299="Win",P299,IF(O299="Loss",-L299,""))</f>
        <v/>
      </c>
      <c r="R299" s="29">
        <f>IF(Q299="","",SUM($Q$2:Q299))</f>
        <v/>
      </c>
      <c r="S299" s="25" t="n"/>
    </row>
    <row r="300">
      <c r="A300" s="24" t="n"/>
      <c r="B300" s="25" t="n"/>
      <c r="C300" s="27" t="n"/>
      <c r="D300" s="26" t="n"/>
      <c r="E300" s="27" t="n"/>
      <c r="F300" s="25" t="n"/>
      <c r="G300" s="27" t="n"/>
      <c r="H300" s="26" t="n"/>
      <c r="I300" s="27" t="n"/>
      <c r="J300" s="27" t="n"/>
      <c r="K300" s="27" t="n"/>
      <c r="L300" s="28" t="n"/>
      <c r="M300" s="27" t="n"/>
      <c r="N300" s="27" t="n"/>
      <c r="O300" s="27">
        <f>IF(AND(M300="",N300=""),"",IF(OR(M300="No Hit",N300="No Hit"),"Loss",IF(AND(M300="Hit",N300="Hit"),"Win","Pending")))</f>
        <v/>
      </c>
      <c r="P300" s="28">
        <f>IF(OR(K300="",L300=""),"",IF(K300&gt;0,L300*(K300/100),L300*(100/(-K300))))</f>
        <v/>
      </c>
      <c r="Q300" s="29">
        <f>IF(O300="Win",P300,IF(O300="Loss",-L300,""))</f>
        <v/>
      </c>
      <c r="R300" s="29">
        <f>IF(Q300="","",SUM($Q$2:Q300))</f>
        <v/>
      </c>
      <c r="S300" s="25" t="n"/>
    </row>
    <row r="301">
      <c r="A301" s="24" t="n"/>
      <c r="B301" s="25" t="n"/>
      <c r="C301" s="27" t="n"/>
      <c r="D301" s="26" t="n"/>
      <c r="E301" s="27" t="n"/>
      <c r="F301" s="25" t="n"/>
      <c r="G301" s="27" t="n"/>
      <c r="H301" s="26" t="n"/>
      <c r="I301" s="27" t="n"/>
      <c r="J301" s="27" t="n"/>
      <c r="K301" s="27" t="n"/>
      <c r="L301" s="28" t="n"/>
      <c r="M301" s="27" t="n"/>
      <c r="N301" s="27" t="n"/>
      <c r="O301" s="27">
        <f>IF(AND(M301="",N301=""),"",IF(OR(M301="No Hit",N301="No Hit"),"Loss",IF(AND(M301="Hit",N301="Hit"),"Win","Pending")))</f>
        <v/>
      </c>
      <c r="P301" s="28">
        <f>IF(OR(K301="",L301=""),"",IF(K301&gt;0,L301*(K301/100),L301*(100/(-K301))))</f>
        <v/>
      </c>
      <c r="Q301" s="29">
        <f>IF(O301="Win",P301,IF(O301="Loss",-L301,""))</f>
        <v/>
      </c>
      <c r="R301" s="29">
        <f>IF(Q301="","",SUM($Q$2:Q301))</f>
        <v/>
      </c>
      <c r="S301" s="25" t="n"/>
    </row>
  </sheetData>
  <conditionalFormatting sqref="A2:S301">
    <cfRule type="expression" priority="1" dxfId="0">
      <formula>$O2="Win"</formula>
    </cfRule>
    <cfRule type="expression" priority="2" dxfId="1">
      <formula>$O2="Loss"</formula>
    </cfRule>
    <cfRule type="expression" priority="3" dxfId="2">
      <formula>$O2="Pending"</formula>
    </cfRule>
  </conditionalFormatting>
  <dataValidations count="3">
    <dataValidation sqref="M2:M301" showDropDown="0" showInputMessage="0" showErrorMessage="0" allowBlank="1" type="list">
      <formula1>"Hit,No Hit,Pending"</formula1>
    </dataValidation>
    <dataValidation sqref="N2:N301" showDropDown="0" showInputMessage="0" showErrorMessage="0" allowBlank="1" type="list">
      <formula1>"Hit,No Hit,Pending"</formula1>
    </dataValidation>
    <dataValidation sqref="J2:J301" showDropDown="0" showInputMessage="0" showErrorMessage="0" allowBlank="1" type="list">
      <formula1>"DraftKings,FanDuel,BetMGM,Caesars,ESPNBet,Bet365,Hard Rock,Other"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8" customWidth="1" min="3" max="3"/>
    <col width="9" customWidth="1" min="4" max="4"/>
    <col width="7" customWidth="1" min="5" max="5"/>
    <col width="22" customWidth="1" min="6" max="6"/>
    <col width="8" customWidth="1" min="7" max="7"/>
    <col width="9" customWidth="1" min="8" max="8"/>
    <col width="7" customWidth="1" min="9" max="9"/>
    <col width="14" customWidth="1" min="10" max="10"/>
    <col width="8" customWidth="1" min="11" max="11"/>
    <col width="10" customWidth="1" min="12" max="12"/>
    <col width="10" customWidth="1" min="13" max="13"/>
    <col width="10" customWidth="1" min="14" max="14"/>
    <col width="10" customWidth="1" min="15" max="15"/>
    <col width="11" customWidth="1" min="16" max="16"/>
    <col width="10" customWidth="1" min="17" max="17"/>
    <col width="14" customWidth="1" min="18" max="18"/>
    <col width="28" customWidth="1" min="19" max="19"/>
  </cols>
  <sheetData>
    <row r="1" ht="32" customHeight="1">
      <c r="A1" s="31" t="inlineStr">
        <is>
          <t>Date</t>
        </is>
      </c>
      <c r="B1" s="31" t="inlineStr">
        <is>
          <t>Batter 1</t>
        </is>
      </c>
      <c r="C1" s="31" t="inlineStr">
        <is>
          <t>B1 Team</t>
        </is>
      </c>
      <c r="D1" s="31" t="inlineStr">
        <is>
          <t>B1 AVG</t>
        </is>
      </c>
      <c r="E1" s="31" t="inlineStr">
        <is>
          <t>B1 AB</t>
        </is>
      </c>
      <c r="F1" s="31" t="inlineStr">
        <is>
          <t>Batter 2</t>
        </is>
      </c>
      <c r="G1" s="31" t="inlineStr">
        <is>
          <t>B2 Team</t>
        </is>
      </c>
      <c r="H1" s="31" t="inlineStr">
        <is>
          <t>B2 AVG</t>
        </is>
      </c>
      <c r="I1" s="31" t="inlineStr">
        <is>
          <t>B2 AB</t>
        </is>
      </c>
      <c r="J1" s="31" t="inlineStr">
        <is>
          <t>Book</t>
        </is>
      </c>
      <c r="K1" s="31" t="inlineStr">
        <is>
          <t>Odds</t>
        </is>
      </c>
      <c r="L1" s="31" t="inlineStr">
        <is>
          <t>Stake ($)</t>
        </is>
      </c>
      <c r="M1" s="31" t="inlineStr">
        <is>
          <t>Leg 1</t>
        </is>
      </c>
      <c r="N1" s="31" t="inlineStr">
        <is>
          <t>Leg 2</t>
        </is>
      </c>
      <c r="O1" s="31" t="inlineStr">
        <is>
          <t>Result</t>
        </is>
      </c>
      <c r="P1" s="31" t="inlineStr">
        <is>
          <t>To Win ($)</t>
        </is>
      </c>
      <c r="Q1" s="31" t="inlineStr">
        <is>
          <t>P/L ($)</t>
        </is>
      </c>
      <c r="R1" s="31" t="inlineStr">
        <is>
          <t>Cum. P/L ($)</t>
        </is>
      </c>
      <c r="S1" s="31" t="inlineStr">
        <is>
          <t>Notes</t>
        </is>
      </c>
    </row>
    <row r="2">
      <c r="A2" s="24" t="n"/>
      <c r="B2" s="25" t="n"/>
      <c r="C2" s="27" t="n"/>
      <c r="D2" s="26" t="n"/>
      <c r="E2" s="27" t="n"/>
      <c r="F2" s="25" t="n"/>
      <c r="G2" s="27" t="n"/>
      <c r="H2" s="26" t="n"/>
      <c r="I2" s="27" t="n"/>
      <c r="J2" s="27" t="n"/>
      <c r="K2" s="27" t="n"/>
      <c r="L2" s="28" t="n"/>
      <c r="M2" s="27" t="n"/>
      <c r="N2" s="27" t="n"/>
      <c r="O2" s="27">
        <f>IF(AND(M2="",N2=""),"",IF(OR(M2="No Hit",N2="No Hit"),"Loss",IF(AND(M2="Hit",N2="Hit"),"Win","Pending")))</f>
        <v/>
      </c>
      <c r="P2" s="28">
        <f>IF(OR(K2="",L2=""),"",IF(K2&gt;0,L2*(K2/100),L2*(100/(-K2))))</f>
        <v/>
      </c>
      <c r="Q2" s="29">
        <f>IF(O2="Win",P2,IF(O2="Loss",-L2,""))</f>
        <v/>
      </c>
      <c r="R2" s="29">
        <f>IF(Q2="","",SUM($Q$2:Q2))</f>
        <v/>
      </c>
      <c r="S2" s="25" t="n"/>
    </row>
    <row r="3">
      <c r="A3" s="24" t="n"/>
      <c r="B3" s="25" t="n"/>
      <c r="C3" s="27" t="n"/>
      <c r="D3" s="26" t="n"/>
      <c r="E3" s="27" t="n"/>
      <c r="F3" s="25" t="n"/>
      <c r="G3" s="27" t="n"/>
      <c r="H3" s="26" t="n"/>
      <c r="I3" s="27" t="n"/>
      <c r="J3" s="27" t="n"/>
      <c r="K3" s="27" t="n"/>
      <c r="L3" s="28" t="n"/>
      <c r="M3" s="27" t="n"/>
      <c r="N3" s="27" t="n"/>
      <c r="O3" s="27">
        <f>IF(AND(M3="",N3=""),"",IF(OR(M3="No Hit",N3="No Hit"),"Loss",IF(AND(M3="Hit",N3="Hit"),"Win","Pending")))</f>
        <v/>
      </c>
      <c r="P3" s="28">
        <f>IF(OR(K3="",L3=""),"",IF(K3&gt;0,L3*(K3/100),L3*(100/(-K3))))</f>
        <v/>
      </c>
      <c r="Q3" s="29">
        <f>IF(O3="Win",P3,IF(O3="Loss",-L3,""))</f>
        <v/>
      </c>
      <c r="R3" s="29">
        <f>IF(Q3="","",SUM($Q$2:Q3))</f>
        <v/>
      </c>
      <c r="S3" s="25" t="n"/>
    </row>
    <row r="4">
      <c r="A4" s="24" t="n"/>
      <c r="B4" s="25" t="n"/>
      <c r="C4" s="27" t="n"/>
      <c r="D4" s="26" t="n"/>
      <c r="E4" s="27" t="n"/>
      <c r="F4" s="25" t="n"/>
      <c r="G4" s="27" t="n"/>
      <c r="H4" s="26" t="n"/>
      <c r="I4" s="27" t="n"/>
      <c r="J4" s="27" t="n"/>
      <c r="K4" s="27" t="n"/>
      <c r="L4" s="28" t="n"/>
      <c r="M4" s="27" t="n"/>
      <c r="N4" s="27" t="n"/>
      <c r="O4" s="27">
        <f>IF(AND(M4="",N4=""),"",IF(OR(M4="No Hit",N4="No Hit"),"Loss",IF(AND(M4="Hit",N4="Hit"),"Win","Pending")))</f>
        <v/>
      </c>
      <c r="P4" s="28">
        <f>IF(OR(K4="",L4=""),"",IF(K4&gt;0,L4*(K4/100),L4*(100/(-K4))))</f>
        <v/>
      </c>
      <c r="Q4" s="29">
        <f>IF(O4="Win",P4,IF(O4="Loss",-L4,""))</f>
        <v/>
      </c>
      <c r="R4" s="29">
        <f>IF(Q4="","",SUM($Q$2:Q4))</f>
        <v/>
      </c>
      <c r="S4" s="25" t="n"/>
    </row>
    <row r="5">
      <c r="A5" s="24" t="n"/>
      <c r="B5" s="25" t="n"/>
      <c r="C5" s="27" t="n"/>
      <c r="D5" s="26" t="n"/>
      <c r="E5" s="27" t="n"/>
      <c r="F5" s="25" t="n"/>
      <c r="G5" s="27" t="n"/>
      <c r="H5" s="26" t="n"/>
      <c r="I5" s="27" t="n"/>
      <c r="J5" s="27" t="n"/>
      <c r="K5" s="27" t="n"/>
      <c r="L5" s="28" t="n"/>
      <c r="M5" s="27" t="n"/>
      <c r="N5" s="27" t="n"/>
      <c r="O5" s="27">
        <f>IF(AND(M5="",N5=""),"",IF(OR(M5="No Hit",N5="No Hit"),"Loss",IF(AND(M5="Hit",N5="Hit"),"Win","Pending")))</f>
        <v/>
      </c>
      <c r="P5" s="28">
        <f>IF(OR(K5="",L5=""),"",IF(K5&gt;0,L5*(K5/100),L5*(100/(-K5))))</f>
        <v/>
      </c>
      <c r="Q5" s="29">
        <f>IF(O5="Win",P5,IF(O5="Loss",-L5,""))</f>
        <v/>
      </c>
      <c r="R5" s="29">
        <f>IF(Q5="","",SUM($Q$2:Q5))</f>
        <v/>
      </c>
      <c r="S5" s="25" t="n"/>
    </row>
    <row r="6">
      <c r="A6" s="24" t="n"/>
      <c r="B6" s="25" t="n"/>
      <c r="C6" s="27" t="n"/>
      <c r="D6" s="26" t="n"/>
      <c r="E6" s="27" t="n"/>
      <c r="F6" s="25" t="n"/>
      <c r="G6" s="27" t="n"/>
      <c r="H6" s="26" t="n"/>
      <c r="I6" s="27" t="n"/>
      <c r="J6" s="27" t="n"/>
      <c r="K6" s="27" t="n"/>
      <c r="L6" s="28" t="n"/>
      <c r="M6" s="27" t="n"/>
      <c r="N6" s="27" t="n"/>
      <c r="O6" s="27">
        <f>IF(AND(M6="",N6=""),"",IF(OR(M6="No Hit",N6="No Hit"),"Loss",IF(AND(M6="Hit",N6="Hit"),"Win","Pending")))</f>
        <v/>
      </c>
      <c r="P6" s="28">
        <f>IF(OR(K6="",L6=""),"",IF(K6&gt;0,L6*(K6/100),L6*(100/(-K6))))</f>
        <v/>
      </c>
      <c r="Q6" s="29">
        <f>IF(O6="Win",P6,IF(O6="Loss",-L6,""))</f>
        <v/>
      </c>
      <c r="R6" s="29">
        <f>IF(Q6="","",SUM($Q$2:Q6))</f>
        <v/>
      </c>
      <c r="S6" s="25" t="n"/>
    </row>
    <row r="7">
      <c r="A7" s="24" t="n"/>
      <c r="B7" s="25" t="n"/>
      <c r="C7" s="27" t="n"/>
      <c r="D7" s="26" t="n"/>
      <c r="E7" s="27" t="n"/>
      <c r="F7" s="25" t="n"/>
      <c r="G7" s="27" t="n"/>
      <c r="H7" s="26" t="n"/>
      <c r="I7" s="27" t="n"/>
      <c r="J7" s="27" t="n"/>
      <c r="K7" s="27" t="n"/>
      <c r="L7" s="28" t="n"/>
      <c r="M7" s="27" t="n"/>
      <c r="N7" s="27" t="n"/>
      <c r="O7" s="27">
        <f>IF(AND(M7="",N7=""),"",IF(OR(M7="No Hit",N7="No Hit"),"Loss",IF(AND(M7="Hit",N7="Hit"),"Win","Pending")))</f>
        <v/>
      </c>
      <c r="P7" s="28">
        <f>IF(OR(K7="",L7=""),"",IF(K7&gt;0,L7*(K7/100),L7*(100/(-K7))))</f>
        <v/>
      </c>
      <c r="Q7" s="29">
        <f>IF(O7="Win",P7,IF(O7="Loss",-L7,""))</f>
        <v/>
      </c>
      <c r="R7" s="29">
        <f>IF(Q7="","",SUM($Q$2:Q7))</f>
        <v/>
      </c>
      <c r="S7" s="25" t="n"/>
    </row>
    <row r="8">
      <c r="A8" s="24" t="n"/>
      <c r="B8" s="25" t="n"/>
      <c r="C8" s="27" t="n"/>
      <c r="D8" s="26" t="n"/>
      <c r="E8" s="27" t="n"/>
      <c r="F8" s="25" t="n"/>
      <c r="G8" s="27" t="n"/>
      <c r="H8" s="26" t="n"/>
      <c r="I8" s="27" t="n"/>
      <c r="J8" s="27" t="n"/>
      <c r="K8" s="27" t="n"/>
      <c r="L8" s="28" t="n"/>
      <c r="M8" s="27" t="n"/>
      <c r="N8" s="27" t="n"/>
      <c r="O8" s="27">
        <f>IF(AND(M8="",N8=""),"",IF(OR(M8="No Hit",N8="No Hit"),"Loss",IF(AND(M8="Hit",N8="Hit"),"Win","Pending")))</f>
        <v/>
      </c>
      <c r="P8" s="28">
        <f>IF(OR(K8="",L8=""),"",IF(K8&gt;0,L8*(K8/100),L8*(100/(-K8))))</f>
        <v/>
      </c>
      <c r="Q8" s="29">
        <f>IF(O8="Win",P8,IF(O8="Loss",-L8,""))</f>
        <v/>
      </c>
      <c r="R8" s="29">
        <f>IF(Q8="","",SUM($Q$2:Q8))</f>
        <v/>
      </c>
      <c r="S8" s="25" t="n"/>
    </row>
    <row r="9">
      <c r="A9" s="24" t="n"/>
      <c r="B9" s="25" t="n"/>
      <c r="C9" s="27" t="n"/>
      <c r="D9" s="26" t="n"/>
      <c r="E9" s="27" t="n"/>
      <c r="F9" s="25" t="n"/>
      <c r="G9" s="27" t="n"/>
      <c r="H9" s="26" t="n"/>
      <c r="I9" s="27" t="n"/>
      <c r="J9" s="27" t="n"/>
      <c r="K9" s="27" t="n"/>
      <c r="L9" s="28" t="n"/>
      <c r="M9" s="27" t="n"/>
      <c r="N9" s="27" t="n"/>
      <c r="O9" s="27">
        <f>IF(AND(M9="",N9=""),"",IF(OR(M9="No Hit",N9="No Hit"),"Loss",IF(AND(M9="Hit",N9="Hit"),"Win","Pending")))</f>
        <v/>
      </c>
      <c r="P9" s="28">
        <f>IF(OR(K9="",L9=""),"",IF(K9&gt;0,L9*(K9/100),L9*(100/(-K9))))</f>
        <v/>
      </c>
      <c r="Q9" s="29">
        <f>IF(O9="Win",P9,IF(O9="Loss",-L9,""))</f>
        <v/>
      </c>
      <c r="R9" s="29">
        <f>IF(Q9="","",SUM($Q$2:Q9))</f>
        <v/>
      </c>
      <c r="S9" s="25" t="n"/>
    </row>
    <row r="10">
      <c r="A10" s="24" t="n"/>
      <c r="B10" s="25" t="n"/>
      <c r="C10" s="27" t="n"/>
      <c r="D10" s="26" t="n"/>
      <c r="E10" s="27" t="n"/>
      <c r="F10" s="25" t="n"/>
      <c r="G10" s="27" t="n"/>
      <c r="H10" s="26" t="n"/>
      <c r="I10" s="27" t="n"/>
      <c r="J10" s="27" t="n"/>
      <c r="K10" s="27" t="n"/>
      <c r="L10" s="28" t="n"/>
      <c r="M10" s="27" t="n"/>
      <c r="N10" s="27" t="n"/>
      <c r="O10" s="27">
        <f>IF(AND(M10="",N10=""),"",IF(OR(M10="No Hit",N10="No Hit"),"Loss",IF(AND(M10="Hit",N10="Hit"),"Win","Pending")))</f>
        <v/>
      </c>
      <c r="P10" s="28">
        <f>IF(OR(K10="",L10=""),"",IF(K10&gt;0,L10*(K10/100),L10*(100/(-K10))))</f>
        <v/>
      </c>
      <c r="Q10" s="29">
        <f>IF(O10="Win",P10,IF(O10="Loss",-L10,""))</f>
        <v/>
      </c>
      <c r="R10" s="29">
        <f>IF(Q10="","",SUM($Q$2:Q10))</f>
        <v/>
      </c>
      <c r="S10" s="25" t="n"/>
    </row>
    <row r="11">
      <c r="A11" s="24" t="n"/>
      <c r="B11" s="25" t="n"/>
      <c r="C11" s="27" t="n"/>
      <c r="D11" s="26" t="n"/>
      <c r="E11" s="27" t="n"/>
      <c r="F11" s="25" t="n"/>
      <c r="G11" s="27" t="n"/>
      <c r="H11" s="26" t="n"/>
      <c r="I11" s="27" t="n"/>
      <c r="J11" s="27" t="n"/>
      <c r="K11" s="27" t="n"/>
      <c r="L11" s="28" t="n"/>
      <c r="M11" s="27" t="n"/>
      <c r="N11" s="27" t="n"/>
      <c r="O11" s="27">
        <f>IF(AND(M11="",N11=""),"",IF(OR(M11="No Hit",N11="No Hit"),"Loss",IF(AND(M11="Hit",N11="Hit"),"Win","Pending")))</f>
        <v/>
      </c>
      <c r="P11" s="28">
        <f>IF(OR(K11="",L11=""),"",IF(K11&gt;0,L11*(K11/100),L11*(100/(-K11))))</f>
        <v/>
      </c>
      <c r="Q11" s="29">
        <f>IF(O11="Win",P11,IF(O11="Loss",-L11,""))</f>
        <v/>
      </c>
      <c r="R11" s="29">
        <f>IF(Q11="","",SUM($Q$2:Q11))</f>
        <v/>
      </c>
      <c r="S11" s="25" t="n"/>
    </row>
    <row r="12">
      <c r="A12" s="24" t="n"/>
      <c r="B12" s="25" t="n"/>
      <c r="C12" s="27" t="n"/>
      <c r="D12" s="26" t="n"/>
      <c r="E12" s="27" t="n"/>
      <c r="F12" s="25" t="n"/>
      <c r="G12" s="27" t="n"/>
      <c r="H12" s="26" t="n"/>
      <c r="I12" s="27" t="n"/>
      <c r="J12" s="27" t="n"/>
      <c r="K12" s="27" t="n"/>
      <c r="L12" s="28" t="n"/>
      <c r="M12" s="27" t="n"/>
      <c r="N12" s="27" t="n"/>
      <c r="O12" s="27">
        <f>IF(AND(M12="",N12=""),"",IF(OR(M12="No Hit",N12="No Hit"),"Loss",IF(AND(M12="Hit",N12="Hit"),"Win","Pending")))</f>
        <v/>
      </c>
      <c r="P12" s="28">
        <f>IF(OR(K12="",L12=""),"",IF(K12&gt;0,L12*(K12/100),L12*(100/(-K12))))</f>
        <v/>
      </c>
      <c r="Q12" s="29">
        <f>IF(O12="Win",P12,IF(O12="Loss",-L12,""))</f>
        <v/>
      </c>
      <c r="R12" s="29">
        <f>IF(Q12="","",SUM($Q$2:Q12))</f>
        <v/>
      </c>
      <c r="S12" s="25" t="n"/>
    </row>
    <row r="13">
      <c r="A13" s="24" t="n"/>
      <c r="B13" s="25" t="n"/>
      <c r="C13" s="27" t="n"/>
      <c r="D13" s="26" t="n"/>
      <c r="E13" s="27" t="n"/>
      <c r="F13" s="25" t="n"/>
      <c r="G13" s="27" t="n"/>
      <c r="H13" s="26" t="n"/>
      <c r="I13" s="27" t="n"/>
      <c r="J13" s="27" t="n"/>
      <c r="K13" s="27" t="n"/>
      <c r="L13" s="28" t="n"/>
      <c r="M13" s="27" t="n"/>
      <c r="N13" s="27" t="n"/>
      <c r="O13" s="27">
        <f>IF(AND(M13="",N13=""),"",IF(OR(M13="No Hit",N13="No Hit"),"Loss",IF(AND(M13="Hit",N13="Hit"),"Win","Pending")))</f>
        <v/>
      </c>
      <c r="P13" s="28">
        <f>IF(OR(K13="",L13=""),"",IF(K13&gt;0,L13*(K13/100),L13*(100/(-K13))))</f>
        <v/>
      </c>
      <c r="Q13" s="29">
        <f>IF(O13="Win",P13,IF(O13="Loss",-L13,""))</f>
        <v/>
      </c>
      <c r="R13" s="29">
        <f>IF(Q13="","",SUM($Q$2:Q13))</f>
        <v/>
      </c>
      <c r="S13" s="25" t="n"/>
    </row>
    <row r="14">
      <c r="A14" s="24" t="n"/>
      <c r="B14" s="25" t="n"/>
      <c r="C14" s="27" t="n"/>
      <c r="D14" s="26" t="n"/>
      <c r="E14" s="27" t="n"/>
      <c r="F14" s="25" t="n"/>
      <c r="G14" s="27" t="n"/>
      <c r="H14" s="26" t="n"/>
      <c r="I14" s="27" t="n"/>
      <c r="J14" s="27" t="n"/>
      <c r="K14" s="27" t="n"/>
      <c r="L14" s="28" t="n"/>
      <c r="M14" s="27" t="n"/>
      <c r="N14" s="27" t="n"/>
      <c r="O14" s="27">
        <f>IF(AND(M14="",N14=""),"",IF(OR(M14="No Hit",N14="No Hit"),"Loss",IF(AND(M14="Hit",N14="Hit"),"Win","Pending")))</f>
        <v/>
      </c>
      <c r="P14" s="28">
        <f>IF(OR(K14="",L14=""),"",IF(K14&gt;0,L14*(K14/100),L14*(100/(-K14))))</f>
        <v/>
      </c>
      <c r="Q14" s="29">
        <f>IF(O14="Win",P14,IF(O14="Loss",-L14,""))</f>
        <v/>
      </c>
      <c r="R14" s="29">
        <f>IF(Q14="","",SUM($Q$2:Q14))</f>
        <v/>
      </c>
      <c r="S14" s="25" t="n"/>
    </row>
    <row r="15">
      <c r="A15" s="24" t="n"/>
      <c r="B15" s="25" t="n"/>
      <c r="C15" s="27" t="n"/>
      <c r="D15" s="26" t="n"/>
      <c r="E15" s="27" t="n"/>
      <c r="F15" s="25" t="n"/>
      <c r="G15" s="27" t="n"/>
      <c r="H15" s="26" t="n"/>
      <c r="I15" s="27" t="n"/>
      <c r="J15" s="27" t="n"/>
      <c r="K15" s="27" t="n"/>
      <c r="L15" s="28" t="n"/>
      <c r="M15" s="27" t="n"/>
      <c r="N15" s="27" t="n"/>
      <c r="O15" s="27">
        <f>IF(AND(M15="",N15=""),"",IF(OR(M15="No Hit",N15="No Hit"),"Loss",IF(AND(M15="Hit",N15="Hit"),"Win","Pending")))</f>
        <v/>
      </c>
      <c r="P15" s="28">
        <f>IF(OR(K15="",L15=""),"",IF(K15&gt;0,L15*(K15/100),L15*(100/(-K15))))</f>
        <v/>
      </c>
      <c r="Q15" s="29">
        <f>IF(O15="Win",P15,IF(O15="Loss",-L15,""))</f>
        <v/>
      </c>
      <c r="R15" s="29">
        <f>IF(Q15="","",SUM($Q$2:Q15))</f>
        <v/>
      </c>
      <c r="S15" s="25" t="n"/>
    </row>
    <row r="16">
      <c r="A16" s="24" t="n"/>
      <c r="B16" s="25" t="n"/>
      <c r="C16" s="27" t="n"/>
      <c r="D16" s="26" t="n"/>
      <c r="E16" s="27" t="n"/>
      <c r="F16" s="25" t="n"/>
      <c r="G16" s="27" t="n"/>
      <c r="H16" s="26" t="n"/>
      <c r="I16" s="27" t="n"/>
      <c r="J16" s="27" t="n"/>
      <c r="K16" s="27" t="n"/>
      <c r="L16" s="28" t="n"/>
      <c r="M16" s="27" t="n"/>
      <c r="N16" s="27" t="n"/>
      <c r="O16" s="27">
        <f>IF(AND(M16="",N16=""),"",IF(OR(M16="No Hit",N16="No Hit"),"Loss",IF(AND(M16="Hit",N16="Hit"),"Win","Pending")))</f>
        <v/>
      </c>
      <c r="P16" s="28">
        <f>IF(OR(K16="",L16=""),"",IF(K16&gt;0,L16*(K16/100),L16*(100/(-K16))))</f>
        <v/>
      </c>
      <c r="Q16" s="29">
        <f>IF(O16="Win",P16,IF(O16="Loss",-L16,""))</f>
        <v/>
      </c>
      <c r="R16" s="29">
        <f>IF(Q16="","",SUM($Q$2:Q16))</f>
        <v/>
      </c>
      <c r="S16" s="25" t="n"/>
    </row>
    <row r="17">
      <c r="A17" s="24" t="n"/>
      <c r="B17" s="25" t="n"/>
      <c r="C17" s="27" t="n"/>
      <c r="D17" s="26" t="n"/>
      <c r="E17" s="27" t="n"/>
      <c r="F17" s="25" t="n"/>
      <c r="G17" s="27" t="n"/>
      <c r="H17" s="26" t="n"/>
      <c r="I17" s="27" t="n"/>
      <c r="J17" s="27" t="n"/>
      <c r="K17" s="27" t="n"/>
      <c r="L17" s="28" t="n"/>
      <c r="M17" s="27" t="n"/>
      <c r="N17" s="27" t="n"/>
      <c r="O17" s="27">
        <f>IF(AND(M17="",N17=""),"",IF(OR(M17="No Hit",N17="No Hit"),"Loss",IF(AND(M17="Hit",N17="Hit"),"Win","Pending")))</f>
        <v/>
      </c>
      <c r="P17" s="28">
        <f>IF(OR(K17="",L17=""),"",IF(K17&gt;0,L17*(K17/100),L17*(100/(-K17))))</f>
        <v/>
      </c>
      <c r="Q17" s="29">
        <f>IF(O17="Win",P17,IF(O17="Loss",-L17,""))</f>
        <v/>
      </c>
      <c r="R17" s="29">
        <f>IF(Q17="","",SUM($Q$2:Q17))</f>
        <v/>
      </c>
      <c r="S17" s="25" t="n"/>
    </row>
    <row r="18">
      <c r="A18" s="24" t="n"/>
      <c r="B18" s="25" t="n"/>
      <c r="C18" s="27" t="n"/>
      <c r="D18" s="26" t="n"/>
      <c r="E18" s="27" t="n"/>
      <c r="F18" s="25" t="n"/>
      <c r="G18" s="27" t="n"/>
      <c r="H18" s="26" t="n"/>
      <c r="I18" s="27" t="n"/>
      <c r="J18" s="27" t="n"/>
      <c r="K18" s="27" t="n"/>
      <c r="L18" s="28" t="n"/>
      <c r="M18" s="27" t="n"/>
      <c r="N18" s="27" t="n"/>
      <c r="O18" s="27">
        <f>IF(AND(M18="",N18=""),"",IF(OR(M18="No Hit",N18="No Hit"),"Loss",IF(AND(M18="Hit",N18="Hit"),"Win","Pending")))</f>
        <v/>
      </c>
      <c r="P18" s="28">
        <f>IF(OR(K18="",L18=""),"",IF(K18&gt;0,L18*(K18/100),L18*(100/(-K18))))</f>
        <v/>
      </c>
      <c r="Q18" s="29">
        <f>IF(O18="Win",P18,IF(O18="Loss",-L18,""))</f>
        <v/>
      </c>
      <c r="R18" s="29">
        <f>IF(Q18="","",SUM($Q$2:Q18))</f>
        <v/>
      </c>
      <c r="S18" s="25" t="n"/>
    </row>
    <row r="19">
      <c r="A19" s="24" t="n"/>
      <c r="B19" s="25" t="n"/>
      <c r="C19" s="27" t="n"/>
      <c r="D19" s="26" t="n"/>
      <c r="E19" s="27" t="n"/>
      <c r="F19" s="25" t="n"/>
      <c r="G19" s="27" t="n"/>
      <c r="H19" s="26" t="n"/>
      <c r="I19" s="27" t="n"/>
      <c r="J19" s="27" t="n"/>
      <c r="K19" s="27" t="n"/>
      <c r="L19" s="28" t="n"/>
      <c r="M19" s="27" t="n"/>
      <c r="N19" s="27" t="n"/>
      <c r="O19" s="27">
        <f>IF(AND(M19="",N19=""),"",IF(OR(M19="No Hit",N19="No Hit"),"Loss",IF(AND(M19="Hit",N19="Hit"),"Win","Pending")))</f>
        <v/>
      </c>
      <c r="P19" s="28">
        <f>IF(OR(K19="",L19=""),"",IF(K19&gt;0,L19*(K19/100),L19*(100/(-K19))))</f>
        <v/>
      </c>
      <c r="Q19" s="29">
        <f>IF(O19="Win",P19,IF(O19="Loss",-L19,""))</f>
        <v/>
      </c>
      <c r="R19" s="29">
        <f>IF(Q19="","",SUM($Q$2:Q19))</f>
        <v/>
      </c>
      <c r="S19" s="25" t="n"/>
    </row>
    <row r="20">
      <c r="A20" s="24" t="n"/>
      <c r="B20" s="25" t="n"/>
      <c r="C20" s="27" t="n"/>
      <c r="D20" s="26" t="n"/>
      <c r="E20" s="27" t="n"/>
      <c r="F20" s="25" t="n"/>
      <c r="G20" s="27" t="n"/>
      <c r="H20" s="26" t="n"/>
      <c r="I20" s="27" t="n"/>
      <c r="J20" s="27" t="n"/>
      <c r="K20" s="27" t="n"/>
      <c r="L20" s="28" t="n"/>
      <c r="M20" s="27" t="n"/>
      <c r="N20" s="27" t="n"/>
      <c r="O20" s="27">
        <f>IF(AND(M20="",N20=""),"",IF(OR(M20="No Hit",N20="No Hit"),"Loss",IF(AND(M20="Hit",N20="Hit"),"Win","Pending")))</f>
        <v/>
      </c>
      <c r="P20" s="28">
        <f>IF(OR(K20="",L20=""),"",IF(K20&gt;0,L20*(K20/100),L20*(100/(-K20))))</f>
        <v/>
      </c>
      <c r="Q20" s="29">
        <f>IF(O20="Win",P20,IF(O20="Loss",-L20,""))</f>
        <v/>
      </c>
      <c r="R20" s="29">
        <f>IF(Q20="","",SUM($Q$2:Q20))</f>
        <v/>
      </c>
      <c r="S20" s="25" t="n"/>
    </row>
    <row r="21">
      <c r="A21" s="24" t="n"/>
      <c r="B21" s="25" t="n"/>
      <c r="C21" s="27" t="n"/>
      <c r="D21" s="26" t="n"/>
      <c r="E21" s="27" t="n"/>
      <c r="F21" s="25" t="n"/>
      <c r="G21" s="27" t="n"/>
      <c r="H21" s="26" t="n"/>
      <c r="I21" s="27" t="n"/>
      <c r="J21" s="27" t="n"/>
      <c r="K21" s="27" t="n"/>
      <c r="L21" s="28" t="n"/>
      <c r="M21" s="27" t="n"/>
      <c r="N21" s="27" t="n"/>
      <c r="O21" s="27">
        <f>IF(AND(M21="",N21=""),"",IF(OR(M21="No Hit",N21="No Hit"),"Loss",IF(AND(M21="Hit",N21="Hit"),"Win","Pending")))</f>
        <v/>
      </c>
      <c r="P21" s="28">
        <f>IF(OR(K21="",L21=""),"",IF(K21&gt;0,L21*(K21/100),L21*(100/(-K21))))</f>
        <v/>
      </c>
      <c r="Q21" s="29">
        <f>IF(O21="Win",P21,IF(O21="Loss",-L21,""))</f>
        <v/>
      </c>
      <c r="R21" s="29">
        <f>IF(Q21="","",SUM($Q$2:Q21))</f>
        <v/>
      </c>
      <c r="S21" s="25" t="n"/>
    </row>
    <row r="22">
      <c r="A22" s="24" t="n"/>
      <c r="B22" s="25" t="n"/>
      <c r="C22" s="27" t="n"/>
      <c r="D22" s="26" t="n"/>
      <c r="E22" s="27" t="n"/>
      <c r="F22" s="25" t="n"/>
      <c r="G22" s="27" t="n"/>
      <c r="H22" s="26" t="n"/>
      <c r="I22" s="27" t="n"/>
      <c r="J22" s="27" t="n"/>
      <c r="K22" s="27" t="n"/>
      <c r="L22" s="28" t="n"/>
      <c r="M22" s="27" t="n"/>
      <c r="N22" s="27" t="n"/>
      <c r="O22" s="27">
        <f>IF(AND(M22="",N22=""),"",IF(OR(M22="No Hit",N22="No Hit"),"Loss",IF(AND(M22="Hit",N22="Hit"),"Win","Pending")))</f>
        <v/>
      </c>
      <c r="P22" s="28">
        <f>IF(OR(K22="",L22=""),"",IF(K22&gt;0,L22*(K22/100),L22*(100/(-K22))))</f>
        <v/>
      </c>
      <c r="Q22" s="29">
        <f>IF(O22="Win",P22,IF(O22="Loss",-L22,""))</f>
        <v/>
      </c>
      <c r="R22" s="29">
        <f>IF(Q22="","",SUM($Q$2:Q22))</f>
        <v/>
      </c>
      <c r="S22" s="25" t="n"/>
    </row>
    <row r="23">
      <c r="A23" s="24" t="n"/>
      <c r="B23" s="25" t="n"/>
      <c r="C23" s="27" t="n"/>
      <c r="D23" s="26" t="n"/>
      <c r="E23" s="27" t="n"/>
      <c r="F23" s="25" t="n"/>
      <c r="G23" s="27" t="n"/>
      <c r="H23" s="26" t="n"/>
      <c r="I23" s="27" t="n"/>
      <c r="J23" s="27" t="n"/>
      <c r="K23" s="27" t="n"/>
      <c r="L23" s="28" t="n"/>
      <c r="M23" s="27" t="n"/>
      <c r="N23" s="27" t="n"/>
      <c r="O23" s="27">
        <f>IF(AND(M23="",N23=""),"",IF(OR(M23="No Hit",N23="No Hit"),"Loss",IF(AND(M23="Hit",N23="Hit"),"Win","Pending")))</f>
        <v/>
      </c>
      <c r="P23" s="28">
        <f>IF(OR(K23="",L23=""),"",IF(K23&gt;0,L23*(K23/100),L23*(100/(-K23))))</f>
        <v/>
      </c>
      <c r="Q23" s="29">
        <f>IF(O23="Win",P23,IF(O23="Loss",-L23,""))</f>
        <v/>
      </c>
      <c r="R23" s="29">
        <f>IF(Q23="","",SUM($Q$2:Q23))</f>
        <v/>
      </c>
      <c r="S23" s="25" t="n"/>
    </row>
    <row r="24">
      <c r="A24" s="24" t="n"/>
      <c r="B24" s="25" t="n"/>
      <c r="C24" s="27" t="n"/>
      <c r="D24" s="26" t="n"/>
      <c r="E24" s="27" t="n"/>
      <c r="F24" s="25" t="n"/>
      <c r="G24" s="27" t="n"/>
      <c r="H24" s="26" t="n"/>
      <c r="I24" s="27" t="n"/>
      <c r="J24" s="27" t="n"/>
      <c r="K24" s="27" t="n"/>
      <c r="L24" s="28" t="n"/>
      <c r="M24" s="27" t="n"/>
      <c r="N24" s="27" t="n"/>
      <c r="O24" s="27">
        <f>IF(AND(M24="",N24=""),"",IF(OR(M24="No Hit",N24="No Hit"),"Loss",IF(AND(M24="Hit",N24="Hit"),"Win","Pending")))</f>
        <v/>
      </c>
      <c r="P24" s="28">
        <f>IF(OR(K24="",L24=""),"",IF(K24&gt;0,L24*(K24/100),L24*(100/(-K24))))</f>
        <v/>
      </c>
      <c r="Q24" s="29">
        <f>IF(O24="Win",P24,IF(O24="Loss",-L24,""))</f>
        <v/>
      </c>
      <c r="R24" s="29">
        <f>IF(Q24="","",SUM($Q$2:Q24))</f>
        <v/>
      </c>
      <c r="S24" s="25" t="n"/>
    </row>
    <row r="25">
      <c r="A25" s="24" t="n"/>
      <c r="B25" s="25" t="n"/>
      <c r="C25" s="27" t="n"/>
      <c r="D25" s="26" t="n"/>
      <c r="E25" s="27" t="n"/>
      <c r="F25" s="25" t="n"/>
      <c r="G25" s="27" t="n"/>
      <c r="H25" s="26" t="n"/>
      <c r="I25" s="27" t="n"/>
      <c r="J25" s="27" t="n"/>
      <c r="K25" s="27" t="n"/>
      <c r="L25" s="28" t="n"/>
      <c r="M25" s="27" t="n"/>
      <c r="N25" s="27" t="n"/>
      <c r="O25" s="27">
        <f>IF(AND(M25="",N25=""),"",IF(OR(M25="No Hit",N25="No Hit"),"Loss",IF(AND(M25="Hit",N25="Hit"),"Win","Pending")))</f>
        <v/>
      </c>
      <c r="P25" s="28">
        <f>IF(OR(K25="",L25=""),"",IF(K25&gt;0,L25*(K25/100),L25*(100/(-K25))))</f>
        <v/>
      </c>
      <c r="Q25" s="29">
        <f>IF(O25="Win",P25,IF(O25="Loss",-L25,""))</f>
        <v/>
      </c>
      <c r="R25" s="29">
        <f>IF(Q25="","",SUM($Q$2:Q25))</f>
        <v/>
      </c>
      <c r="S25" s="25" t="n"/>
    </row>
    <row r="26">
      <c r="A26" s="24" t="n"/>
      <c r="B26" s="25" t="n"/>
      <c r="C26" s="27" t="n"/>
      <c r="D26" s="26" t="n"/>
      <c r="E26" s="27" t="n"/>
      <c r="F26" s="25" t="n"/>
      <c r="G26" s="27" t="n"/>
      <c r="H26" s="26" t="n"/>
      <c r="I26" s="27" t="n"/>
      <c r="J26" s="27" t="n"/>
      <c r="K26" s="27" t="n"/>
      <c r="L26" s="28" t="n"/>
      <c r="M26" s="27" t="n"/>
      <c r="N26" s="27" t="n"/>
      <c r="O26" s="27">
        <f>IF(AND(M26="",N26=""),"",IF(OR(M26="No Hit",N26="No Hit"),"Loss",IF(AND(M26="Hit",N26="Hit"),"Win","Pending")))</f>
        <v/>
      </c>
      <c r="P26" s="28">
        <f>IF(OR(K26="",L26=""),"",IF(K26&gt;0,L26*(K26/100),L26*(100/(-K26))))</f>
        <v/>
      </c>
      <c r="Q26" s="29">
        <f>IF(O26="Win",P26,IF(O26="Loss",-L26,""))</f>
        <v/>
      </c>
      <c r="R26" s="29">
        <f>IF(Q26="","",SUM($Q$2:Q26))</f>
        <v/>
      </c>
      <c r="S26" s="25" t="n"/>
    </row>
    <row r="27">
      <c r="A27" s="24" t="n"/>
      <c r="B27" s="25" t="n"/>
      <c r="C27" s="27" t="n"/>
      <c r="D27" s="26" t="n"/>
      <c r="E27" s="27" t="n"/>
      <c r="F27" s="25" t="n"/>
      <c r="G27" s="27" t="n"/>
      <c r="H27" s="26" t="n"/>
      <c r="I27" s="27" t="n"/>
      <c r="J27" s="27" t="n"/>
      <c r="K27" s="27" t="n"/>
      <c r="L27" s="28" t="n"/>
      <c r="M27" s="27" t="n"/>
      <c r="N27" s="27" t="n"/>
      <c r="O27" s="27">
        <f>IF(AND(M27="",N27=""),"",IF(OR(M27="No Hit",N27="No Hit"),"Loss",IF(AND(M27="Hit",N27="Hit"),"Win","Pending")))</f>
        <v/>
      </c>
      <c r="P27" s="28">
        <f>IF(OR(K27="",L27=""),"",IF(K27&gt;0,L27*(K27/100),L27*(100/(-K27))))</f>
        <v/>
      </c>
      <c r="Q27" s="29">
        <f>IF(O27="Win",P27,IF(O27="Loss",-L27,""))</f>
        <v/>
      </c>
      <c r="R27" s="29">
        <f>IF(Q27="","",SUM($Q$2:Q27))</f>
        <v/>
      </c>
      <c r="S27" s="25" t="n"/>
    </row>
    <row r="28">
      <c r="A28" s="24" t="n"/>
      <c r="B28" s="25" t="n"/>
      <c r="C28" s="27" t="n"/>
      <c r="D28" s="26" t="n"/>
      <c r="E28" s="27" t="n"/>
      <c r="F28" s="25" t="n"/>
      <c r="G28" s="27" t="n"/>
      <c r="H28" s="26" t="n"/>
      <c r="I28" s="27" t="n"/>
      <c r="J28" s="27" t="n"/>
      <c r="K28" s="27" t="n"/>
      <c r="L28" s="28" t="n"/>
      <c r="M28" s="27" t="n"/>
      <c r="N28" s="27" t="n"/>
      <c r="O28" s="27">
        <f>IF(AND(M28="",N28=""),"",IF(OR(M28="No Hit",N28="No Hit"),"Loss",IF(AND(M28="Hit",N28="Hit"),"Win","Pending")))</f>
        <v/>
      </c>
      <c r="P28" s="28">
        <f>IF(OR(K28="",L28=""),"",IF(K28&gt;0,L28*(K28/100),L28*(100/(-K28))))</f>
        <v/>
      </c>
      <c r="Q28" s="29">
        <f>IF(O28="Win",P28,IF(O28="Loss",-L28,""))</f>
        <v/>
      </c>
      <c r="R28" s="29">
        <f>IF(Q28="","",SUM($Q$2:Q28))</f>
        <v/>
      </c>
      <c r="S28" s="25" t="n"/>
    </row>
    <row r="29">
      <c r="A29" s="24" t="n"/>
      <c r="B29" s="25" t="n"/>
      <c r="C29" s="27" t="n"/>
      <c r="D29" s="26" t="n"/>
      <c r="E29" s="27" t="n"/>
      <c r="F29" s="25" t="n"/>
      <c r="G29" s="27" t="n"/>
      <c r="H29" s="26" t="n"/>
      <c r="I29" s="27" t="n"/>
      <c r="J29" s="27" t="n"/>
      <c r="K29" s="27" t="n"/>
      <c r="L29" s="28" t="n"/>
      <c r="M29" s="27" t="n"/>
      <c r="N29" s="27" t="n"/>
      <c r="O29" s="27">
        <f>IF(AND(M29="",N29=""),"",IF(OR(M29="No Hit",N29="No Hit"),"Loss",IF(AND(M29="Hit",N29="Hit"),"Win","Pending")))</f>
        <v/>
      </c>
      <c r="P29" s="28">
        <f>IF(OR(K29="",L29=""),"",IF(K29&gt;0,L29*(K29/100),L29*(100/(-K29))))</f>
        <v/>
      </c>
      <c r="Q29" s="29">
        <f>IF(O29="Win",P29,IF(O29="Loss",-L29,""))</f>
        <v/>
      </c>
      <c r="R29" s="29">
        <f>IF(Q29="","",SUM($Q$2:Q29))</f>
        <v/>
      </c>
      <c r="S29" s="25" t="n"/>
    </row>
    <row r="30">
      <c r="A30" s="24" t="n"/>
      <c r="B30" s="25" t="n"/>
      <c r="C30" s="27" t="n"/>
      <c r="D30" s="26" t="n"/>
      <c r="E30" s="27" t="n"/>
      <c r="F30" s="25" t="n"/>
      <c r="G30" s="27" t="n"/>
      <c r="H30" s="26" t="n"/>
      <c r="I30" s="27" t="n"/>
      <c r="J30" s="27" t="n"/>
      <c r="K30" s="27" t="n"/>
      <c r="L30" s="28" t="n"/>
      <c r="M30" s="27" t="n"/>
      <c r="N30" s="27" t="n"/>
      <c r="O30" s="27">
        <f>IF(AND(M30="",N30=""),"",IF(OR(M30="No Hit",N30="No Hit"),"Loss",IF(AND(M30="Hit",N30="Hit"),"Win","Pending")))</f>
        <v/>
      </c>
      <c r="P30" s="28">
        <f>IF(OR(K30="",L30=""),"",IF(K30&gt;0,L30*(K30/100),L30*(100/(-K30))))</f>
        <v/>
      </c>
      <c r="Q30" s="29">
        <f>IF(O30="Win",P30,IF(O30="Loss",-L30,""))</f>
        <v/>
      </c>
      <c r="R30" s="29">
        <f>IF(Q30="","",SUM($Q$2:Q30))</f>
        <v/>
      </c>
      <c r="S30" s="25" t="n"/>
    </row>
    <row r="31">
      <c r="A31" s="24" t="n"/>
      <c r="B31" s="25" t="n"/>
      <c r="C31" s="27" t="n"/>
      <c r="D31" s="26" t="n"/>
      <c r="E31" s="27" t="n"/>
      <c r="F31" s="25" t="n"/>
      <c r="G31" s="27" t="n"/>
      <c r="H31" s="26" t="n"/>
      <c r="I31" s="27" t="n"/>
      <c r="J31" s="27" t="n"/>
      <c r="K31" s="27" t="n"/>
      <c r="L31" s="28" t="n"/>
      <c r="M31" s="27" t="n"/>
      <c r="N31" s="27" t="n"/>
      <c r="O31" s="27">
        <f>IF(AND(M31="",N31=""),"",IF(OR(M31="No Hit",N31="No Hit"),"Loss",IF(AND(M31="Hit",N31="Hit"),"Win","Pending")))</f>
        <v/>
      </c>
      <c r="P31" s="28">
        <f>IF(OR(K31="",L31=""),"",IF(K31&gt;0,L31*(K31/100),L31*(100/(-K31))))</f>
        <v/>
      </c>
      <c r="Q31" s="29">
        <f>IF(O31="Win",P31,IF(O31="Loss",-L31,""))</f>
        <v/>
      </c>
      <c r="R31" s="29">
        <f>IF(Q31="","",SUM($Q$2:Q31))</f>
        <v/>
      </c>
      <c r="S31" s="25" t="n"/>
    </row>
    <row r="32">
      <c r="A32" s="24" t="n"/>
      <c r="B32" s="25" t="n"/>
      <c r="C32" s="27" t="n"/>
      <c r="D32" s="26" t="n"/>
      <c r="E32" s="27" t="n"/>
      <c r="F32" s="25" t="n"/>
      <c r="G32" s="27" t="n"/>
      <c r="H32" s="26" t="n"/>
      <c r="I32" s="27" t="n"/>
      <c r="J32" s="27" t="n"/>
      <c r="K32" s="27" t="n"/>
      <c r="L32" s="28" t="n"/>
      <c r="M32" s="27" t="n"/>
      <c r="N32" s="27" t="n"/>
      <c r="O32" s="27">
        <f>IF(AND(M32="",N32=""),"",IF(OR(M32="No Hit",N32="No Hit"),"Loss",IF(AND(M32="Hit",N32="Hit"),"Win","Pending")))</f>
        <v/>
      </c>
      <c r="P32" s="28">
        <f>IF(OR(K32="",L32=""),"",IF(K32&gt;0,L32*(K32/100),L32*(100/(-K32))))</f>
        <v/>
      </c>
      <c r="Q32" s="29">
        <f>IF(O32="Win",P32,IF(O32="Loss",-L32,""))</f>
        <v/>
      </c>
      <c r="R32" s="29">
        <f>IF(Q32="","",SUM($Q$2:Q32))</f>
        <v/>
      </c>
      <c r="S32" s="25" t="n"/>
    </row>
    <row r="33">
      <c r="A33" s="24" t="n"/>
      <c r="B33" s="25" t="n"/>
      <c r="C33" s="27" t="n"/>
      <c r="D33" s="26" t="n"/>
      <c r="E33" s="27" t="n"/>
      <c r="F33" s="25" t="n"/>
      <c r="G33" s="27" t="n"/>
      <c r="H33" s="26" t="n"/>
      <c r="I33" s="27" t="n"/>
      <c r="J33" s="27" t="n"/>
      <c r="K33" s="27" t="n"/>
      <c r="L33" s="28" t="n"/>
      <c r="M33" s="27" t="n"/>
      <c r="N33" s="27" t="n"/>
      <c r="O33" s="27">
        <f>IF(AND(M33="",N33=""),"",IF(OR(M33="No Hit",N33="No Hit"),"Loss",IF(AND(M33="Hit",N33="Hit"),"Win","Pending")))</f>
        <v/>
      </c>
      <c r="P33" s="28">
        <f>IF(OR(K33="",L33=""),"",IF(K33&gt;0,L33*(K33/100),L33*(100/(-K33))))</f>
        <v/>
      </c>
      <c r="Q33" s="29">
        <f>IF(O33="Win",P33,IF(O33="Loss",-L33,""))</f>
        <v/>
      </c>
      <c r="R33" s="29">
        <f>IF(Q33="","",SUM($Q$2:Q33))</f>
        <v/>
      </c>
      <c r="S33" s="25" t="n"/>
    </row>
    <row r="34">
      <c r="A34" s="24" t="n"/>
      <c r="B34" s="25" t="n"/>
      <c r="C34" s="27" t="n"/>
      <c r="D34" s="26" t="n"/>
      <c r="E34" s="27" t="n"/>
      <c r="F34" s="25" t="n"/>
      <c r="G34" s="27" t="n"/>
      <c r="H34" s="26" t="n"/>
      <c r="I34" s="27" t="n"/>
      <c r="J34" s="27" t="n"/>
      <c r="K34" s="27" t="n"/>
      <c r="L34" s="28" t="n"/>
      <c r="M34" s="27" t="n"/>
      <c r="N34" s="27" t="n"/>
      <c r="O34" s="27">
        <f>IF(AND(M34="",N34=""),"",IF(OR(M34="No Hit",N34="No Hit"),"Loss",IF(AND(M34="Hit",N34="Hit"),"Win","Pending")))</f>
        <v/>
      </c>
      <c r="P34" s="28">
        <f>IF(OR(K34="",L34=""),"",IF(K34&gt;0,L34*(K34/100),L34*(100/(-K34))))</f>
        <v/>
      </c>
      <c r="Q34" s="29">
        <f>IF(O34="Win",P34,IF(O34="Loss",-L34,""))</f>
        <v/>
      </c>
      <c r="R34" s="29">
        <f>IF(Q34="","",SUM($Q$2:Q34))</f>
        <v/>
      </c>
      <c r="S34" s="25" t="n"/>
    </row>
    <row r="35">
      <c r="A35" s="24" t="n"/>
      <c r="B35" s="25" t="n"/>
      <c r="C35" s="27" t="n"/>
      <c r="D35" s="26" t="n"/>
      <c r="E35" s="27" t="n"/>
      <c r="F35" s="25" t="n"/>
      <c r="G35" s="27" t="n"/>
      <c r="H35" s="26" t="n"/>
      <c r="I35" s="27" t="n"/>
      <c r="J35" s="27" t="n"/>
      <c r="K35" s="27" t="n"/>
      <c r="L35" s="28" t="n"/>
      <c r="M35" s="27" t="n"/>
      <c r="N35" s="27" t="n"/>
      <c r="O35" s="27">
        <f>IF(AND(M35="",N35=""),"",IF(OR(M35="No Hit",N35="No Hit"),"Loss",IF(AND(M35="Hit",N35="Hit"),"Win","Pending")))</f>
        <v/>
      </c>
      <c r="P35" s="28">
        <f>IF(OR(K35="",L35=""),"",IF(K35&gt;0,L35*(K35/100),L35*(100/(-K35))))</f>
        <v/>
      </c>
      <c r="Q35" s="29">
        <f>IF(O35="Win",P35,IF(O35="Loss",-L35,""))</f>
        <v/>
      </c>
      <c r="R35" s="29">
        <f>IF(Q35="","",SUM($Q$2:Q35))</f>
        <v/>
      </c>
      <c r="S35" s="25" t="n"/>
    </row>
    <row r="36">
      <c r="A36" s="24" t="n"/>
      <c r="B36" s="25" t="n"/>
      <c r="C36" s="27" t="n"/>
      <c r="D36" s="26" t="n"/>
      <c r="E36" s="27" t="n"/>
      <c r="F36" s="25" t="n"/>
      <c r="G36" s="27" t="n"/>
      <c r="H36" s="26" t="n"/>
      <c r="I36" s="27" t="n"/>
      <c r="J36" s="27" t="n"/>
      <c r="K36" s="27" t="n"/>
      <c r="L36" s="28" t="n"/>
      <c r="M36" s="27" t="n"/>
      <c r="N36" s="27" t="n"/>
      <c r="O36" s="27">
        <f>IF(AND(M36="",N36=""),"",IF(OR(M36="No Hit",N36="No Hit"),"Loss",IF(AND(M36="Hit",N36="Hit"),"Win","Pending")))</f>
        <v/>
      </c>
      <c r="P36" s="28">
        <f>IF(OR(K36="",L36=""),"",IF(K36&gt;0,L36*(K36/100),L36*(100/(-K36))))</f>
        <v/>
      </c>
      <c r="Q36" s="29">
        <f>IF(O36="Win",P36,IF(O36="Loss",-L36,""))</f>
        <v/>
      </c>
      <c r="R36" s="29">
        <f>IF(Q36="","",SUM($Q$2:Q36))</f>
        <v/>
      </c>
      <c r="S36" s="25" t="n"/>
    </row>
    <row r="37">
      <c r="A37" s="24" t="n"/>
      <c r="B37" s="25" t="n"/>
      <c r="C37" s="27" t="n"/>
      <c r="D37" s="26" t="n"/>
      <c r="E37" s="27" t="n"/>
      <c r="F37" s="25" t="n"/>
      <c r="G37" s="27" t="n"/>
      <c r="H37" s="26" t="n"/>
      <c r="I37" s="27" t="n"/>
      <c r="J37" s="27" t="n"/>
      <c r="K37" s="27" t="n"/>
      <c r="L37" s="28" t="n"/>
      <c r="M37" s="27" t="n"/>
      <c r="N37" s="27" t="n"/>
      <c r="O37" s="27">
        <f>IF(AND(M37="",N37=""),"",IF(OR(M37="No Hit",N37="No Hit"),"Loss",IF(AND(M37="Hit",N37="Hit"),"Win","Pending")))</f>
        <v/>
      </c>
      <c r="P37" s="28">
        <f>IF(OR(K37="",L37=""),"",IF(K37&gt;0,L37*(K37/100),L37*(100/(-K37))))</f>
        <v/>
      </c>
      <c r="Q37" s="29">
        <f>IF(O37="Win",P37,IF(O37="Loss",-L37,""))</f>
        <v/>
      </c>
      <c r="R37" s="29">
        <f>IF(Q37="","",SUM($Q$2:Q37))</f>
        <v/>
      </c>
      <c r="S37" s="25" t="n"/>
    </row>
    <row r="38">
      <c r="A38" s="24" t="n"/>
      <c r="B38" s="25" t="n"/>
      <c r="C38" s="27" t="n"/>
      <c r="D38" s="26" t="n"/>
      <c r="E38" s="27" t="n"/>
      <c r="F38" s="25" t="n"/>
      <c r="G38" s="27" t="n"/>
      <c r="H38" s="26" t="n"/>
      <c r="I38" s="27" t="n"/>
      <c r="J38" s="27" t="n"/>
      <c r="K38" s="27" t="n"/>
      <c r="L38" s="28" t="n"/>
      <c r="M38" s="27" t="n"/>
      <c r="N38" s="27" t="n"/>
      <c r="O38" s="27">
        <f>IF(AND(M38="",N38=""),"",IF(OR(M38="No Hit",N38="No Hit"),"Loss",IF(AND(M38="Hit",N38="Hit"),"Win","Pending")))</f>
        <v/>
      </c>
      <c r="P38" s="28">
        <f>IF(OR(K38="",L38=""),"",IF(K38&gt;0,L38*(K38/100),L38*(100/(-K38))))</f>
        <v/>
      </c>
      <c r="Q38" s="29">
        <f>IF(O38="Win",P38,IF(O38="Loss",-L38,""))</f>
        <v/>
      </c>
      <c r="R38" s="29">
        <f>IF(Q38="","",SUM($Q$2:Q38))</f>
        <v/>
      </c>
      <c r="S38" s="25" t="n"/>
    </row>
    <row r="39">
      <c r="A39" s="24" t="n"/>
      <c r="B39" s="25" t="n"/>
      <c r="C39" s="27" t="n"/>
      <c r="D39" s="26" t="n"/>
      <c r="E39" s="27" t="n"/>
      <c r="F39" s="25" t="n"/>
      <c r="G39" s="27" t="n"/>
      <c r="H39" s="26" t="n"/>
      <c r="I39" s="27" t="n"/>
      <c r="J39" s="27" t="n"/>
      <c r="K39" s="27" t="n"/>
      <c r="L39" s="28" t="n"/>
      <c r="M39" s="27" t="n"/>
      <c r="N39" s="27" t="n"/>
      <c r="O39" s="27">
        <f>IF(AND(M39="",N39=""),"",IF(OR(M39="No Hit",N39="No Hit"),"Loss",IF(AND(M39="Hit",N39="Hit"),"Win","Pending")))</f>
        <v/>
      </c>
      <c r="P39" s="28">
        <f>IF(OR(K39="",L39=""),"",IF(K39&gt;0,L39*(K39/100),L39*(100/(-K39))))</f>
        <v/>
      </c>
      <c r="Q39" s="29">
        <f>IF(O39="Win",P39,IF(O39="Loss",-L39,""))</f>
        <v/>
      </c>
      <c r="R39" s="29">
        <f>IF(Q39="","",SUM($Q$2:Q39))</f>
        <v/>
      </c>
      <c r="S39" s="25" t="n"/>
    </row>
    <row r="40">
      <c r="A40" s="24" t="n"/>
      <c r="B40" s="25" t="n"/>
      <c r="C40" s="27" t="n"/>
      <c r="D40" s="26" t="n"/>
      <c r="E40" s="27" t="n"/>
      <c r="F40" s="25" t="n"/>
      <c r="G40" s="27" t="n"/>
      <c r="H40" s="26" t="n"/>
      <c r="I40" s="27" t="n"/>
      <c r="J40" s="27" t="n"/>
      <c r="K40" s="27" t="n"/>
      <c r="L40" s="28" t="n"/>
      <c r="M40" s="27" t="n"/>
      <c r="N40" s="27" t="n"/>
      <c r="O40" s="27">
        <f>IF(AND(M40="",N40=""),"",IF(OR(M40="No Hit",N40="No Hit"),"Loss",IF(AND(M40="Hit",N40="Hit"),"Win","Pending")))</f>
        <v/>
      </c>
      <c r="P40" s="28">
        <f>IF(OR(K40="",L40=""),"",IF(K40&gt;0,L40*(K40/100),L40*(100/(-K40))))</f>
        <v/>
      </c>
      <c r="Q40" s="29">
        <f>IF(O40="Win",P40,IF(O40="Loss",-L40,""))</f>
        <v/>
      </c>
      <c r="R40" s="29">
        <f>IF(Q40="","",SUM($Q$2:Q40))</f>
        <v/>
      </c>
      <c r="S40" s="25" t="n"/>
    </row>
    <row r="41">
      <c r="A41" s="24" t="n"/>
      <c r="B41" s="25" t="n"/>
      <c r="C41" s="27" t="n"/>
      <c r="D41" s="26" t="n"/>
      <c r="E41" s="27" t="n"/>
      <c r="F41" s="25" t="n"/>
      <c r="G41" s="27" t="n"/>
      <c r="H41" s="26" t="n"/>
      <c r="I41" s="27" t="n"/>
      <c r="J41" s="27" t="n"/>
      <c r="K41" s="27" t="n"/>
      <c r="L41" s="28" t="n"/>
      <c r="M41" s="27" t="n"/>
      <c r="N41" s="27" t="n"/>
      <c r="O41" s="27">
        <f>IF(AND(M41="",N41=""),"",IF(OR(M41="No Hit",N41="No Hit"),"Loss",IF(AND(M41="Hit",N41="Hit"),"Win","Pending")))</f>
        <v/>
      </c>
      <c r="P41" s="28">
        <f>IF(OR(K41="",L41=""),"",IF(K41&gt;0,L41*(K41/100),L41*(100/(-K41))))</f>
        <v/>
      </c>
      <c r="Q41" s="29">
        <f>IF(O41="Win",P41,IF(O41="Loss",-L41,""))</f>
        <v/>
      </c>
      <c r="R41" s="29">
        <f>IF(Q41="","",SUM($Q$2:Q41))</f>
        <v/>
      </c>
      <c r="S41" s="25" t="n"/>
    </row>
    <row r="42">
      <c r="A42" s="24" t="n"/>
      <c r="B42" s="25" t="n"/>
      <c r="C42" s="27" t="n"/>
      <c r="D42" s="26" t="n"/>
      <c r="E42" s="27" t="n"/>
      <c r="F42" s="25" t="n"/>
      <c r="G42" s="27" t="n"/>
      <c r="H42" s="26" t="n"/>
      <c r="I42" s="27" t="n"/>
      <c r="J42" s="27" t="n"/>
      <c r="K42" s="27" t="n"/>
      <c r="L42" s="28" t="n"/>
      <c r="M42" s="27" t="n"/>
      <c r="N42" s="27" t="n"/>
      <c r="O42" s="27">
        <f>IF(AND(M42="",N42=""),"",IF(OR(M42="No Hit",N42="No Hit"),"Loss",IF(AND(M42="Hit",N42="Hit"),"Win","Pending")))</f>
        <v/>
      </c>
      <c r="P42" s="28">
        <f>IF(OR(K42="",L42=""),"",IF(K42&gt;0,L42*(K42/100),L42*(100/(-K42))))</f>
        <v/>
      </c>
      <c r="Q42" s="29">
        <f>IF(O42="Win",P42,IF(O42="Loss",-L42,""))</f>
        <v/>
      </c>
      <c r="R42" s="29">
        <f>IF(Q42="","",SUM($Q$2:Q42))</f>
        <v/>
      </c>
      <c r="S42" s="25" t="n"/>
    </row>
    <row r="43">
      <c r="A43" s="24" t="n"/>
      <c r="B43" s="25" t="n"/>
      <c r="C43" s="27" t="n"/>
      <c r="D43" s="26" t="n"/>
      <c r="E43" s="27" t="n"/>
      <c r="F43" s="25" t="n"/>
      <c r="G43" s="27" t="n"/>
      <c r="H43" s="26" t="n"/>
      <c r="I43" s="27" t="n"/>
      <c r="J43" s="27" t="n"/>
      <c r="K43" s="27" t="n"/>
      <c r="L43" s="28" t="n"/>
      <c r="M43" s="27" t="n"/>
      <c r="N43" s="27" t="n"/>
      <c r="O43" s="27">
        <f>IF(AND(M43="",N43=""),"",IF(OR(M43="No Hit",N43="No Hit"),"Loss",IF(AND(M43="Hit",N43="Hit"),"Win","Pending")))</f>
        <v/>
      </c>
      <c r="P43" s="28">
        <f>IF(OR(K43="",L43=""),"",IF(K43&gt;0,L43*(K43/100),L43*(100/(-K43))))</f>
        <v/>
      </c>
      <c r="Q43" s="29">
        <f>IF(O43="Win",P43,IF(O43="Loss",-L43,""))</f>
        <v/>
      </c>
      <c r="R43" s="29">
        <f>IF(Q43="","",SUM($Q$2:Q43))</f>
        <v/>
      </c>
      <c r="S43" s="25" t="n"/>
    </row>
    <row r="44">
      <c r="A44" s="24" t="n"/>
      <c r="B44" s="25" t="n"/>
      <c r="C44" s="27" t="n"/>
      <c r="D44" s="26" t="n"/>
      <c r="E44" s="27" t="n"/>
      <c r="F44" s="25" t="n"/>
      <c r="G44" s="27" t="n"/>
      <c r="H44" s="26" t="n"/>
      <c r="I44" s="27" t="n"/>
      <c r="J44" s="27" t="n"/>
      <c r="K44" s="27" t="n"/>
      <c r="L44" s="28" t="n"/>
      <c r="M44" s="27" t="n"/>
      <c r="N44" s="27" t="n"/>
      <c r="O44" s="27">
        <f>IF(AND(M44="",N44=""),"",IF(OR(M44="No Hit",N44="No Hit"),"Loss",IF(AND(M44="Hit",N44="Hit"),"Win","Pending")))</f>
        <v/>
      </c>
      <c r="P44" s="28">
        <f>IF(OR(K44="",L44=""),"",IF(K44&gt;0,L44*(K44/100),L44*(100/(-K44))))</f>
        <v/>
      </c>
      <c r="Q44" s="29">
        <f>IF(O44="Win",P44,IF(O44="Loss",-L44,""))</f>
        <v/>
      </c>
      <c r="R44" s="29">
        <f>IF(Q44="","",SUM($Q$2:Q44))</f>
        <v/>
      </c>
      <c r="S44" s="25" t="n"/>
    </row>
    <row r="45">
      <c r="A45" s="24" t="n"/>
      <c r="B45" s="25" t="n"/>
      <c r="C45" s="27" t="n"/>
      <c r="D45" s="26" t="n"/>
      <c r="E45" s="27" t="n"/>
      <c r="F45" s="25" t="n"/>
      <c r="G45" s="27" t="n"/>
      <c r="H45" s="26" t="n"/>
      <c r="I45" s="27" t="n"/>
      <c r="J45" s="27" t="n"/>
      <c r="K45" s="27" t="n"/>
      <c r="L45" s="28" t="n"/>
      <c r="M45" s="27" t="n"/>
      <c r="N45" s="27" t="n"/>
      <c r="O45" s="27">
        <f>IF(AND(M45="",N45=""),"",IF(OR(M45="No Hit",N45="No Hit"),"Loss",IF(AND(M45="Hit",N45="Hit"),"Win","Pending")))</f>
        <v/>
      </c>
      <c r="P45" s="28">
        <f>IF(OR(K45="",L45=""),"",IF(K45&gt;0,L45*(K45/100),L45*(100/(-K45))))</f>
        <v/>
      </c>
      <c r="Q45" s="29">
        <f>IF(O45="Win",P45,IF(O45="Loss",-L45,""))</f>
        <v/>
      </c>
      <c r="R45" s="29">
        <f>IF(Q45="","",SUM($Q$2:Q45))</f>
        <v/>
      </c>
      <c r="S45" s="25" t="n"/>
    </row>
    <row r="46">
      <c r="A46" s="24" t="n"/>
      <c r="B46" s="25" t="n"/>
      <c r="C46" s="27" t="n"/>
      <c r="D46" s="26" t="n"/>
      <c r="E46" s="27" t="n"/>
      <c r="F46" s="25" t="n"/>
      <c r="G46" s="27" t="n"/>
      <c r="H46" s="26" t="n"/>
      <c r="I46" s="27" t="n"/>
      <c r="J46" s="27" t="n"/>
      <c r="K46" s="27" t="n"/>
      <c r="L46" s="28" t="n"/>
      <c r="M46" s="27" t="n"/>
      <c r="N46" s="27" t="n"/>
      <c r="O46" s="27">
        <f>IF(AND(M46="",N46=""),"",IF(OR(M46="No Hit",N46="No Hit"),"Loss",IF(AND(M46="Hit",N46="Hit"),"Win","Pending")))</f>
        <v/>
      </c>
      <c r="P46" s="28">
        <f>IF(OR(K46="",L46=""),"",IF(K46&gt;0,L46*(K46/100),L46*(100/(-K46))))</f>
        <v/>
      </c>
      <c r="Q46" s="29">
        <f>IF(O46="Win",P46,IF(O46="Loss",-L46,""))</f>
        <v/>
      </c>
      <c r="R46" s="29">
        <f>IF(Q46="","",SUM($Q$2:Q46))</f>
        <v/>
      </c>
      <c r="S46" s="25" t="n"/>
    </row>
    <row r="47">
      <c r="A47" s="24" t="n"/>
      <c r="B47" s="25" t="n"/>
      <c r="C47" s="27" t="n"/>
      <c r="D47" s="26" t="n"/>
      <c r="E47" s="27" t="n"/>
      <c r="F47" s="25" t="n"/>
      <c r="G47" s="27" t="n"/>
      <c r="H47" s="26" t="n"/>
      <c r="I47" s="27" t="n"/>
      <c r="J47" s="27" t="n"/>
      <c r="K47" s="27" t="n"/>
      <c r="L47" s="28" t="n"/>
      <c r="M47" s="27" t="n"/>
      <c r="N47" s="27" t="n"/>
      <c r="O47" s="27">
        <f>IF(AND(M47="",N47=""),"",IF(OR(M47="No Hit",N47="No Hit"),"Loss",IF(AND(M47="Hit",N47="Hit"),"Win","Pending")))</f>
        <v/>
      </c>
      <c r="P47" s="28">
        <f>IF(OR(K47="",L47=""),"",IF(K47&gt;0,L47*(K47/100),L47*(100/(-K47))))</f>
        <v/>
      </c>
      <c r="Q47" s="29">
        <f>IF(O47="Win",P47,IF(O47="Loss",-L47,""))</f>
        <v/>
      </c>
      <c r="R47" s="29">
        <f>IF(Q47="","",SUM($Q$2:Q47))</f>
        <v/>
      </c>
      <c r="S47" s="25" t="n"/>
    </row>
    <row r="48">
      <c r="A48" s="24" t="n"/>
      <c r="B48" s="25" t="n"/>
      <c r="C48" s="27" t="n"/>
      <c r="D48" s="26" t="n"/>
      <c r="E48" s="27" t="n"/>
      <c r="F48" s="25" t="n"/>
      <c r="G48" s="27" t="n"/>
      <c r="H48" s="26" t="n"/>
      <c r="I48" s="27" t="n"/>
      <c r="J48" s="27" t="n"/>
      <c r="K48" s="27" t="n"/>
      <c r="L48" s="28" t="n"/>
      <c r="M48" s="27" t="n"/>
      <c r="N48" s="27" t="n"/>
      <c r="O48" s="27">
        <f>IF(AND(M48="",N48=""),"",IF(OR(M48="No Hit",N48="No Hit"),"Loss",IF(AND(M48="Hit",N48="Hit"),"Win","Pending")))</f>
        <v/>
      </c>
      <c r="P48" s="28">
        <f>IF(OR(K48="",L48=""),"",IF(K48&gt;0,L48*(K48/100),L48*(100/(-K48))))</f>
        <v/>
      </c>
      <c r="Q48" s="29">
        <f>IF(O48="Win",P48,IF(O48="Loss",-L48,""))</f>
        <v/>
      </c>
      <c r="R48" s="29">
        <f>IF(Q48="","",SUM($Q$2:Q48))</f>
        <v/>
      </c>
      <c r="S48" s="25" t="n"/>
    </row>
    <row r="49">
      <c r="A49" s="24" t="n"/>
      <c r="B49" s="25" t="n"/>
      <c r="C49" s="27" t="n"/>
      <c r="D49" s="26" t="n"/>
      <c r="E49" s="27" t="n"/>
      <c r="F49" s="25" t="n"/>
      <c r="G49" s="27" t="n"/>
      <c r="H49" s="26" t="n"/>
      <c r="I49" s="27" t="n"/>
      <c r="J49" s="27" t="n"/>
      <c r="K49" s="27" t="n"/>
      <c r="L49" s="28" t="n"/>
      <c r="M49" s="27" t="n"/>
      <c r="N49" s="27" t="n"/>
      <c r="O49" s="27">
        <f>IF(AND(M49="",N49=""),"",IF(OR(M49="No Hit",N49="No Hit"),"Loss",IF(AND(M49="Hit",N49="Hit"),"Win","Pending")))</f>
        <v/>
      </c>
      <c r="P49" s="28">
        <f>IF(OR(K49="",L49=""),"",IF(K49&gt;0,L49*(K49/100),L49*(100/(-K49))))</f>
        <v/>
      </c>
      <c r="Q49" s="29">
        <f>IF(O49="Win",P49,IF(O49="Loss",-L49,""))</f>
        <v/>
      </c>
      <c r="R49" s="29">
        <f>IF(Q49="","",SUM($Q$2:Q49))</f>
        <v/>
      </c>
      <c r="S49" s="25" t="n"/>
    </row>
    <row r="50">
      <c r="A50" s="24" t="n"/>
      <c r="B50" s="25" t="n"/>
      <c r="C50" s="27" t="n"/>
      <c r="D50" s="26" t="n"/>
      <c r="E50" s="27" t="n"/>
      <c r="F50" s="25" t="n"/>
      <c r="G50" s="27" t="n"/>
      <c r="H50" s="26" t="n"/>
      <c r="I50" s="27" t="n"/>
      <c r="J50" s="27" t="n"/>
      <c r="K50" s="27" t="n"/>
      <c r="L50" s="28" t="n"/>
      <c r="M50" s="27" t="n"/>
      <c r="N50" s="27" t="n"/>
      <c r="O50" s="27">
        <f>IF(AND(M50="",N50=""),"",IF(OR(M50="No Hit",N50="No Hit"),"Loss",IF(AND(M50="Hit",N50="Hit"),"Win","Pending")))</f>
        <v/>
      </c>
      <c r="P50" s="28">
        <f>IF(OR(K50="",L50=""),"",IF(K50&gt;0,L50*(K50/100),L50*(100/(-K50))))</f>
        <v/>
      </c>
      <c r="Q50" s="29">
        <f>IF(O50="Win",P50,IF(O50="Loss",-L50,""))</f>
        <v/>
      </c>
      <c r="R50" s="29">
        <f>IF(Q50="","",SUM($Q$2:Q50))</f>
        <v/>
      </c>
      <c r="S50" s="25" t="n"/>
    </row>
    <row r="51">
      <c r="A51" s="24" t="n"/>
      <c r="B51" s="25" t="n"/>
      <c r="C51" s="27" t="n"/>
      <c r="D51" s="26" t="n"/>
      <c r="E51" s="27" t="n"/>
      <c r="F51" s="25" t="n"/>
      <c r="G51" s="27" t="n"/>
      <c r="H51" s="26" t="n"/>
      <c r="I51" s="27" t="n"/>
      <c r="J51" s="27" t="n"/>
      <c r="K51" s="27" t="n"/>
      <c r="L51" s="28" t="n"/>
      <c r="M51" s="27" t="n"/>
      <c r="N51" s="27" t="n"/>
      <c r="O51" s="27">
        <f>IF(AND(M51="",N51=""),"",IF(OR(M51="No Hit",N51="No Hit"),"Loss",IF(AND(M51="Hit",N51="Hit"),"Win","Pending")))</f>
        <v/>
      </c>
      <c r="P51" s="28">
        <f>IF(OR(K51="",L51=""),"",IF(K51&gt;0,L51*(K51/100),L51*(100/(-K51))))</f>
        <v/>
      </c>
      <c r="Q51" s="29">
        <f>IF(O51="Win",P51,IF(O51="Loss",-L51,""))</f>
        <v/>
      </c>
      <c r="R51" s="29">
        <f>IF(Q51="","",SUM($Q$2:Q51))</f>
        <v/>
      </c>
      <c r="S51" s="25" t="n"/>
    </row>
    <row r="52">
      <c r="A52" s="24" t="n"/>
      <c r="B52" s="25" t="n"/>
      <c r="C52" s="27" t="n"/>
      <c r="D52" s="26" t="n"/>
      <c r="E52" s="27" t="n"/>
      <c r="F52" s="25" t="n"/>
      <c r="G52" s="27" t="n"/>
      <c r="H52" s="26" t="n"/>
      <c r="I52" s="27" t="n"/>
      <c r="J52" s="27" t="n"/>
      <c r="K52" s="27" t="n"/>
      <c r="L52" s="28" t="n"/>
      <c r="M52" s="27" t="n"/>
      <c r="N52" s="27" t="n"/>
      <c r="O52" s="27">
        <f>IF(AND(M52="",N52=""),"",IF(OR(M52="No Hit",N52="No Hit"),"Loss",IF(AND(M52="Hit",N52="Hit"),"Win","Pending")))</f>
        <v/>
      </c>
      <c r="P52" s="28">
        <f>IF(OR(K52="",L52=""),"",IF(K52&gt;0,L52*(K52/100),L52*(100/(-K52))))</f>
        <v/>
      </c>
      <c r="Q52" s="29">
        <f>IF(O52="Win",P52,IF(O52="Loss",-L52,""))</f>
        <v/>
      </c>
      <c r="R52" s="29">
        <f>IF(Q52="","",SUM($Q$2:Q52))</f>
        <v/>
      </c>
      <c r="S52" s="25" t="n"/>
    </row>
    <row r="53">
      <c r="A53" s="24" t="n"/>
      <c r="B53" s="25" t="n"/>
      <c r="C53" s="27" t="n"/>
      <c r="D53" s="26" t="n"/>
      <c r="E53" s="27" t="n"/>
      <c r="F53" s="25" t="n"/>
      <c r="G53" s="27" t="n"/>
      <c r="H53" s="26" t="n"/>
      <c r="I53" s="27" t="n"/>
      <c r="J53" s="27" t="n"/>
      <c r="K53" s="27" t="n"/>
      <c r="L53" s="28" t="n"/>
      <c r="M53" s="27" t="n"/>
      <c r="N53" s="27" t="n"/>
      <c r="O53" s="27">
        <f>IF(AND(M53="",N53=""),"",IF(OR(M53="No Hit",N53="No Hit"),"Loss",IF(AND(M53="Hit",N53="Hit"),"Win","Pending")))</f>
        <v/>
      </c>
      <c r="P53" s="28">
        <f>IF(OR(K53="",L53=""),"",IF(K53&gt;0,L53*(K53/100),L53*(100/(-K53))))</f>
        <v/>
      </c>
      <c r="Q53" s="29">
        <f>IF(O53="Win",P53,IF(O53="Loss",-L53,""))</f>
        <v/>
      </c>
      <c r="R53" s="29">
        <f>IF(Q53="","",SUM($Q$2:Q53))</f>
        <v/>
      </c>
      <c r="S53" s="25" t="n"/>
    </row>
    <row r="54">
      <c r="A54" s="24" t="n"/>
      <c r="B54" s="25" t="n"/>
      <c r="C54" s="27" t="n"/>
      <c r="D54" s="26" t="n"/>
      <c r="E54" s="27" t="n"/>
      <c r="F54" s="25" t="n"/>
      <c r="G54" s="27" t="n"/>
      <c r="H54" s="26" t="n"/>
      <c r="I54" s="27" t="n"/>
      <c r="J54" s="27" t="n"/>
      <c r="K54" s="27" t="n"/>
      <c r="L54" s="28" t="n"/>
      <c r="M54" s="27" t="n"/>
      <c r="N54" s="27" t="n"/>
      <c r="O54" s="27">
        <f>IF(AND(M54="",N54=""),"",IF(OR(M54="No Hit",N54="No Hit"),"Loss",IF(AND(M54="Hit",N54="Hit"),"Win","Pending")))</f>
        <v/>
      </c>
      <c r="P54" s="28">
        <f>IF(OR(K54="",L54=""),"",IF(K54&gt;0,L54*(K54/100),L54*(100/(-K54))))</f>
        <v/>
      </c>
      <c r="Q54" s="29">
        <f>IF(O54="Win",P54,IF(O54="Loss",-L54,""))</f>
        <v/>
      </c>
      <c r="R54" s="29">
        <f>IF(Q54="","",SUM($Q$2:Q54))</f>
        <v/>
      </c>
      <c r="S54" s="25" t="n"/>
    </row>
    <row r="55">
      <c r="A55" s="24" t="n"/>
      <c r="B55" s="25" t="n"/>
      <c r="C55" s="27" t="n"/>
      <c r="D55" s="26" t="n"/>
      <c r="E55" s="27" t="n"/>
      <c r="F55" s="25" t="n"/>
      <c r="G55" s="27" t="n"/>
      <c r="H55" s="26" t="n"/>
      <c r="I55" s="27" t="n"/>
      <c r="J55" s="27" t="n"/>
      <c r="K55" s="27" t="n"/>
      <c r="L55" s="28" t="n"/>
      <c r="M55" s="27" t="n"/>
      <c r="N55" s="27" t="n"/>
      <c r="O55" s="27">
        <f>IF(AND(M55="",N55=""),"",IF(OR(M55="No Hit",N55="No Hit"),"Loss",IF(AND(M55="Hit",N55="Hit"),"Win","Pending")))</f>
        <v/>
      </c>
      <c r="P55" s="28">
        <f>IF(OR(K55="",L55=""),"",IF(K55&gt;0,L55*(K55/100),L55*(100/(-K55))))</f>
        <v/>
      </c>
      <c r="Q55" s="29">
        <f>IF(O55="Win",P55,IF(O55="Loss",-L55,""))</f>
        <v/>
      </c>
      <c r="R55" s="29">
        <f>IF(Q55="","",SUM($Q$2:Q55))</f>
        <v/>
      </c>
      <c r="S55" s="25" t="n"/>
    </row>
    <row r="56">
      <c r="A56" s="24" t="n"/>
      <c r="B56" s="25" t="n"/>
      <c r="C56" s="27" t="n"/>
      <c r="D56" s="26" t="n"/>
      <c r="E56" s="27" t="n"/>
      <c r="F56" s="25" t="n"/>
      <c r="G56" s="27" t="n"/>
      <c r="H56" s="26" t="n"/>
      <c r="I56" s="27" t="n"/>
      <c r="J56" s="27" t="n"/>
      <c r="K56" s="27" t="n"/>
      <c r="L56" s="28" t="n"/>
      <c r="M56" s="27" t="n"/>
      <c r="N56" s="27" t="n"/>
      <c r="O56" s="27">
        <f>IF(AND(M56="",N56=""),"",IF(OR(M56="No Hit",N56="No Hit"),"Loss",IF(AND(M56="Hit",N56="Hit"),"Win","Pending")))</f>
        <v/>
      </c>
      <c r="P56" s="28">
        <f>IF(OR(K56="",L56=""),"",IF(K56&gt;0,L56*(K56/100),L56*(100/(-K56))))</f>
        <v/>
      </c>
      <c r="Q56" s="29">
        <f>IF(O56="Win",P56,IF(O56="Loss",-L56,""))</f>
        <v/>
      </c>
      <c r="R56" s="29">
        <f>IF(Q56="","",SUM($Q$2:Q56))</f>
        <v/>
      </c>
      <c r="S56" s="25" t="n"/>
    </row>
    <row r="57">
      <c r="A57" s="24" t="n"/>
      <c r="B57" s="25" t="n"/>
      <c r="C57" s="27" t="n"/>
      <c r="D57" s="26" t="n"/>
      <c r="E57" s="27" t="n"/>
      <c r="F57" s="25" t="n"/>
      <c r="G57" s="27" t="n"/>
      <c r="H57" s="26" t="n"/>
      <c r="I57" s="27" t="n"/>
      <c r="J57" s="27" t="n"/>
      <c r="K57" s="27" t="n"/>
      <c r="L57" s="28" t="n"/>
      <c r="M57" s="27" t="n"/>
      <c r="N57" s="27" t="n"/>
      <c r="O57" s="27">
        <f>IF(AND(M57="",N57=""),"",IF(OR(M57="No Hit",N57="No Hit"),"Loss",IF(AND(M57="Hit",N57="Hit"),"Win","Pending")))</f>
        <v/>
      </c>
      <c r="P57" s="28">
        <f>IF(OR(K57="",L57=""),"",IF(K57&gt;0,L57*(K57/100),L57*(100/(-K57))))</f>
        <v/>
      </c>
      <c r="Q57" s="29">
        <f>IF(O57="Win",P57,IF(O57="Loss",-L57,""))</f>
        <v/>
      </c>
      <c r="R57" s="29">
        <f>IF(Q57="","",SUM($Q$2:Q57))</f>
        <v/>
      </c>
      <c r="S57" s="25" t="n"/>
    </row>
    <row r="58">
      <c r="A58" s="24" t="n"/>
      <c r="B58" s="25" t="n"/>
      <c r="C58" s="27" t="n"/>
      <c r="D58" s="26" t="n"/>
      <c r="E58" s="27" t="n"/>
      <c r="F58" s="25" t="n"/>
      <c r="G58" s="27" t="n"/>
      <c r="H58" s="26" t="n"/>
      <c r="I58" s="27" t="n"/>
      <c r="J58" s="27" t="n"/>
      <c r="K58" s="27" t="n"/>
      <c r="L58" s="28" t="n"/>
      <c r="M58" s="27" t="n"/>
      <c r="N58" s="27" t="n"/>
      <c r="O58" s="27">
        <f>IF(AND(M58="",N58=""),"",IF(OR(M58="No Hit",N58="No Hit"),"Loss",IF(AND(M58="Hit",N58="Hit"),"Win","Pending")))</f>
        <v/>
      </c>
      <c r="P58" s="28">
        <f>IF(OR(K58="",L58=""),"",IF(K58&gt;0,L58*(K58/100),L58*(100/(-K58))))</f>
        <v/>
      </c>
      <c r="Q58" s="29">
        <f>IF(O58="Win",P58,IF(O58="Loss",-L58,""))</f>
        <v/>
      </c>
      <c r="R58" s="29">
        <f>IF(Q58="","",SUM($Q$2:Q58))</f>
        <v/>
      </c>
      <c r="S58" s="25" t="n"/>
    </row>
    <row r="59">
      <c r="A59" s="24" t="n"/>
      <c r="B59" s="25" t="n"/>
      <c r="C59" s="27" t="n"/>
      <c r="D59" s="26" t="n"/>
      <c r="E59" s="27" t="n"/>
      <c r="F59" s="25" t="n"/>
      <c r="G59" s="27" t="n"/>
      <c r="H59" s="26" t="n"/>
      <c r="I59" s="27" t="n"/>
      <c r="J59" s="27" t="n"/>
      <c r="K59" s="27" t="n"/>
      <c r="L59" s="28" t="n"/>
      <c r="M59" s="27" t="n"/>
      <c r="N59" s="27" t="n"/>
      <c r="O59" s="27">
        <f>IF(AND(M59="",N59=""),"",IF(OR(M59="No Hit",N59="No Hit"),"Loss",IF(AND(M59="Hit",N59="Hit"),"Win","Pending")))</f>
        <v/>
      </c>
      <c r="P59" s="28">
        <f>IF(OR(K59="",L59=""),"",IF(K59&gt;0,L59*(K59/100),L59*(100/(-K59))))</f>
        <v/>
      </c>
      <c r="Q59" s="29">
        <f>IF(O59="Win",P59,IF(O59="Loss",-L59,""))</f>
        <v/>
      </c>
      <c r="R59" s="29">
        <f>IF(Q59="","",SUM($Q$2:Q59))</f>
        <v/>
      </c>
      <c r="S59" s="25" t="n"/>
    </row>
    <row r="60">
      <c r="A60" s="24" t="n"/>
      <c r="B60" s="25" t="n"/>
      <c r="C60" s="27" t="n"/>
      <c r="D60" s="26" t="n"/>
      <c r="E60" s="27" t="n"/>
      <c r="F60" s="25" t="n"/>
      <c r="G60" s="27" t="n"/>
      <c r="H60" s="26" t="n"/>
      <c r="I60" s="27" t="n"/>
      <c r="J60" s="27" t="n"/>
      <c r="K60" s="27" t="n"/>
      <c r="L60" s="28" t="n"/>
      <c r="M60" s="27" t="n"/>
      <c r="N60" s="27" t="n"/>
      <c r="O60" s="27">
        <f>IF(AND(M60="",N60=""),"",IF(OR(M60="No Hit",N60="No Hit"),"Loss",IF(AND(M60="Hit",N60="Hit"),"Win","Pending")))</f>
        <v/>
      </c>
      <c r="P60" s="28">
        <f>IF(OR(K60="",L60=""),"",IF(K60&gt;0,L60*(K60/100),L60*(100/(-K60))))</f>
        <v/>
      </c>
      <c r="Q60" s="29">
        <f>IF(O60="Win",P60,IF(O60="Loss",-L60,""))</f>
        <v/>
      </c>
      <c r="R60" s="29">
        <f>IF(Q60="","",SUM($Q$2:Q60))</f>
        <v/>
      </c>
      <c r="S60" s="25" t="n"/>
    </row>
    <row r="61">
      <c r="A61" s="24" t="n"/>
      <c r="B61" s="25" t="n"/>
      <c r="C61" s="27" t="n"/>
      <c r="D61" s="26" t="n"/>
      <c r="E61" s="27" t="n"/>
      <c r="F61" s="25" t="n"/>
      <c r="G61" s="27" t="n"/>
      <c r="H61" s="26" t="n"/>
      <c r="I61" s="27" t="n"/>
      <c r="J61" s="27" t="n"/>
      <c r="K61" s="27" t="n"/>
      <c r="L61" s="28" t="n"/>
      <c r="M61" s="27" t="n"/>
      <c r="N61" s="27" t="n"/>
      <c r="O61" s="27">
        <f>IF(AND(M61="",N61=""),"",IF(OR(M61="No Hit",N61="No Hit"),"Loss",IF(AND(M61="Hit",N61="Hit"),"Win","Pending")))</f>
        <v/>
      </c>
      <c r="P61" s="28">
        <f>IF(OR(K61="",L61=""),"",IF(K61&gt;0,L61*(K61/100),L61*(100/(-K61))))</f>
        <v/>
      </c>
      <c r="Q61" s="29">
        <f>IF(O61="Win",P61,IF(O61="Loss",-L61,""))</f>
        <v/>
      </c>
      <c r="R61" s="29">
        <f>IF(Q61="","",SUM($Q$2:Q61))</f>
        <v/>
      </c>
      <c r="S61" s="25" t="n"/>
    </row>
    <row r="62">
      <c r="A62" s="24" t="n"/>
      <c r="B62" s="25" t="n"/>
      <c r="C62" s="27" t="n"/>
      <c r="D62" s="26" t="n"/>
      <c r="E62" s="27" t="n"/>
      <c r="F62" s="25" t="n"/>
      <c r="G62" s="27" t="n"/>
      <c r="H62" s="26" t="n"/>
      <c r="I62" s="27" t="n"/>
      <c r="J62" s="27" t="n"/>
      <c r="K62" s="27" t="n"/>
      <c r="L62" s="28" t="n"/>
      <c r="M62" s="27" t="n"/>
      <c r="N62" s="27" t="n"/>
      <c r="O62" s="27">
        <f>IF(AND(M62="",N62=""),"",IF(OR(M62="No Hit",N62="No Hit"),"Loss",IF(AND(M62="Hit",N62="Hit"),"Win","Pending")))</f>
        <v/>
      </c>
      <c r="P62" s="28">
        <f>IF(OR(K62="",L62=""),"",IF(K62&gt;0,L62*(K62/100),L62*(100/(-K62))))</f>
        <v/>
      </c>
      <c r="Q62" s="29">
        <f>IF(O62="Win",P62,IF(O62="Loss",-L62,""))</f>
        <v/>
      </c>
      <c r="R62" s="29">
        <f>IF(Q62="","",SUM($Q$2:Q62))</f>
        <v/>
      </c>
      <c r="S62" s="25" t="n"/>
    </row>
    <row r="63">
      <c r="A63" s="24" t="n"/>
      <c r="B63" s="25" t="n"/>
      <c r="C63" s="27" t="n"/>
      <c r="D63" s="26" t="n"/>
      <c r="E63" s="27" t="n"/>
      <c r="F63" s="25" t="n"/>
      <c r="G63" s="27" t="n"/>
      <c r="H63" s="26" t="n"/>
      <c r="I63" s="27" t="n"/>
      <c r="J63" s="27" t="n"/>
      <c r="K63" s="27" t="n"/>
      <c r="L63" s="28" t="n"/>
      <c r="M63" s="27" t="n"/>
      <c r="N63" s="27" t="n"/>
      <c r="O63" s="27">
        <f>IF(AND(M63="",N63=""),"",IF(OR(M63="No Hit",N63="No Hit"),"Loss",IF(AND(M63="Hit",N63="Hit"),"Win","Pending")))</f>
        <v/>
      </c>
      <c r="P63" s="28">
        <f>IF(OR(K63="",L63=""),"",IF(K63&gt;0,L63*(K63/100),L63*(100/(-K63))))</f>
        <v/>
      </c>
      <c r="Q63" s="29">
        <f>IF(O63="Win",P63,IF(O63="Loss",-L63,""))</f>
        <v/>
      </c>
      <c r="R63" s="29">
        <f>IF(Q63="","",SUM($Q$2:Q63))</f>
        <v/>
      </c>
      <c r="S63" s="25" t="n"/>
    </row>
    <row r="64">
      <c r="A64" s="24" t="n"/>
      <c r="B64" s="25" t="n"/>
      <c r="C64" s="27" t="n"/>
      <c r="D64" s="26" t="n"/>
      <c r="E64" s="27" t="n"/>
      <c r="F64" s="25" t="n"/>
      <c r="G64" s="27" t="n"/>
      <c r="H64" s="26" t="n"/>
      <c r="I64" s="27" t="n"/>
      <c r="J64" s="27" t="n"/>
      <c r="K64" s="27" t="n"/>
      <c r="L64" s="28" t="n"/>
      <c r="M64" s="27" t="n"/>
      <c r="N64" s="27" t="n"/>
      <c r="O64" s="27">
        <f>IF(AND(M64="",N64=""),"",IF(OR(M64="No Hit",N64="No Hit"),"Loss",IF(AND(M64="Hit",N64="Hit"),"Win","Pending")))</f>
        <v/>
      </c>
      <c r="P64" s="28">
        <f>IF(OR(K64="",L64=""),"",IF(K64&gt;0,L64*(K64/100),L64*(100/(-K64))))</f>
        <v/>
      </c>
      <c r="Q64" s="29">
        <f>IF(O64="Win",P64,IF(O64="Loss",-L64,""))</f>
        <v/>
      </c>
      <c r="R64" s="29">
        <f>IF(Q64="","",SUM($Q$2:Q64))</f>
        <v/>
      </c>
      <c r="S64" s="25" t="n"/>
    </row>
    <row r="65">
      <c r="A65" s="24" t="n"/>
      <c r="B65" s="25" t="n"/>
      <c r="C65" s="27" t="n"/>
      <c r="D65" s="26" t="n"/>
      <c r="E65" s="27" t="n"/>
      <c r="F65" s="25" t="n"/>
      <c r="G65" s="27" t="n"/>
      <c r="H65" s="26" t="n"/>
      <c r="I65" s="27" t="n"/>
      <c r="J65" s="27" t="n"/>
      <c r="K65" s="27" t="n"/>
      <c r="L65" s="28" t="n"/>
      <c r="M65" s="27" t="n"/>
      <c r="N65" s="27" t="n"/>
      <c r="O65" s="27">
        <f>IF(AND(M65="",N65=""),"",IF(OR(M65="No Hit",N65="No Hit"),"Loss",IF(AND(M65="Hit",N65="Hit"),"Win","Pending")))</f>
        <v/>
      </c>
      <c r="P65" s="28">
        <f>IF(OR(K65="",L65=""),"",IF(K65&gt;0,L65*(K65/100),L65*(100/(-K65))))</f>
        <v/>
      </c>
      <c r="Q65" s="29">
        <f>IF(O65="Win",P65,IF(O65="Loss",-L65,""))</f>
        <v/>
      </c>
      <c r="R65" s="29">
        <f>IF(Q65="","",SUM($Q$2:Q65))</f>
        <v/>
      </c>
      <c r="S65" s="25" t="n"/>
    </row>
    <row r="66">
      <c r="A66" s="24" t="n"/>
      <c r="B66" s="25" t="n"/>
      <c r="C66" s="27" t="n"/>
      <c r="D66" s="26" t="n"/>
      <c r="E66" s="27" t="n"/>
      <c r="F66" s="25" t="n"/>
      <c r="G66" s="27" t="n"/>
      <c r="H66" s="26" t="n"/>
      <c r="I66" s="27" t="n"/>
      <c r="J66" s="27" t="n"/>
      <c r="K66" s="27" t="n"/>
      <c r="L66" s="28" t="n"/>
      <c r="M66" s="27" t="n"/>
      <c r="N66" s="27" t="n"/>
      <c r="O66" s="27">
        <f>IF(AND(M66="",N66=""),"",IF(OR(M66="No Hit",N66="No Hit"),"Loss",IF(AND(M66="Hit",N66="Hit"),"Win","Pending")))</f>
        <v/>
      </c>
      <c r="P66" s="28">
        <f>IF(OR(K66="",L66=""),"",IF(K66&gt;0,L66*(K66/100),L66*(100/(-K66))))</f>
        <v/>
      </c>
      <c r="Q66" s="29">
        <f>IF(O66="Win",P66,IF(O66="Loss",-L66,""))</f>
        <v/>
      </c>
      <c r="R66" s="29">
        <f>IF(Q66="","",SUM($Q$2:Q66))</f>
        <v/>
      </c>
      <c r="S66" s="25" t="n"/>
    </row>
    <row r="67">
      <c r="A67" s="24" t="n"/>
      <c r="B67" s="25" t="n"/>
      <c r="C67" s="27" t="n"/>
      <c r="D67" s="26" t="n"/>
      <c r="E67" s="27" t="n"/>
      <c r="F67" s="25" t="n"/>
      <c r="G67" s="27" t="n"/>
      <c r="H67" s="26" t="n"/>
      <c r="I67" s="27" t="n"/>
      <c r="J67" s="27" t="n"/>
      <c r="K67" s="27" t="n"/>
      <c r="L67" s="28" t="n"/>
      <c r="M67" s="27" t="n"/>
      <c r="N67" s="27" t="n"/>
      <c r="O67" s="27">
        <f>IF(AND(M67="",N67=""),"",IF(OR(M67="No Hit",N67="No Hit"),"Loss",IF(AND(M67="Hit",N67="Hit"),"Win","Pending")))</f>
        <v/>
      </c>
      <c r="P67" s="28">
        <f>IF(OR(K67="",L67=""),"",IF(K67&gt;0,L67*(K67/100),L67*(100/(-K67))))</f>
        <v/>
      </c>
      <c r="Q67" s="29">
        <f>IF(O67="Win",P67,IF(O67="Loss",-L67,""))</f>
        <v/>
      </c>
      <c r="R67" s="29">
        <f>IF(Q67="","",SUM($Q$2:Q67))</f>
        <v/>
      </c>
      <c r="S67" s="25" t="n"/>
    </row>
    <row r="68">
      <c r="A68" s="24" t="n"/>
      <c r="B68" s="25" t="n"/>
      <c r="C68" s="27" t="n"/>
      <c r="D68" s="26" t="n"/>
      <c r="E68" s="27" t="n"/>
      <c r="F68" s="25" t="n"/>
      <c r="G68" s="27" t="n"/>
      <c r="H68" s="26" t="n"/>
      <c r="I68" s="27" t="n"/>
      <c r="J68" s="27" t="n"/>
      <c r="K68" s="27" t="n"/>
      <c r="L68" s="28" t="n"/>
      <c r="M68" s="27" t="n"/>
      <c r="N68" s="27" t="n"/>
      <c r="O68" s="27">
        <f>IF(AND(M68="",N68=""),"",IF(OR(M68="No Hit",N68="No Hit"),"Loss",IF(AND(M68="Hit",N68="Hit"),"Win","Pending")))</f>
        <v/>
      </c>
      <c r="P68" s="28">
        <f>IF(OR(K68="",L68=""),"",IF(K68&gt;0,L68*(K68/100),L68*(100/(-K68))))</f>
        <v/>
      </c>
      <c r="Q68" s="29">
        <f>IF(O68="Win",P68,IF(O68="Loss",-L68,""))</f>
        <v/>
      </c>
      <c r="R68" s="29">
        <f>IF(Q68="","",SUM($Q$2:Q68))</f>
        <v/>
      </c>
      <c r="S68" s="25" t="n"/>
    </row>
    <row r="69">
      <c r="A69" s="24" t="n"/>
      <c r="B69" s="25" t="n"/>
      <c r="C69" s="27" t="n"/>
      <c r="D69" s="26" t="n"/>
      <c r="E69" s="27" t="n"/>
      <c r="F69" s="25" t="n"/>
      <c r="G69" s="27" t="n"/>
      <c r="H69" s="26" t="n"/>
      <c r="I69" s="27" t="n"/>
      <c r="J69" s="27" t="n"/>
      <c r="K69" s="27" t="n"/>
      <c r="L69" s="28" t="n"/>
      <c r="M69" s="27" t="n"/>
      <c r="N69" s="27" t="n"/>
      <c r="O69" s="27">
        <f>IF(AND(M69="",N69=""),"",IF(OR(M69="No Hit",N69="No Hit"),"Loss",IF(AND(M69="Hit",N69="Hit"),"Win","Pending")))</f>
        <v/>
      </c>
      <c r="P69" s="28">
        <f>IF(OR(K69="",L69=""),"",IF(K69&gt;0,L69*(K69/100),L69*(100/(-K69))))</f>
        <v/>
      </c>
      <c r="Q69" s="29">
        <f>IF(O69="Win",P69,IF(O69="Loss",-L69,""))</f>
        <v/>
      </c>
      <c r="R69" s="29">
        <f>IF(Q69="","",SUM($Q$2:Q69))</f>
        <v/>
      </c>
      <c r="S69" s="25" t="n"/>
    </row>
    <row r="70">
      <c r="A70" s="24" t="n"/>
      <c r="B70" s="25" t="n"/>
      <c r="C70" s="27" t="n"/>
      <c r="D70" s="26" t="n"/>
      <c r="E70" s="27" t="n"/>
      <c r="F70" s="25" t="n"/>
      <c r="G70" s="27" t="n"/>
      <c r="H70" s="26" t="n"/>
      <c r="I70" s="27" t="n"/>
      <c r="J70" s="27" t="n"/>
      <c r="K70" s="27" t="n"/>
      <c r="L70" s="28" t="n"/>
      <c r="M70" s="27" t="n"/>
      <c r="N70" s="27" t="n"/>
      <c r="O70" s="27">
        <f>IF(AND(M70="",N70=""),"",IF(OR(M70="No Hit",N70="No Hit"),"Loss",IF(AND(M70="Hit",N70="Hit"),"Win","Pending")))</f>
        <v/>
      </c>
      <c r="P70" s="28">
        <f>IF(OR(K70="",L70=""),"",IF(K70&gt;0,L70*(K70/100),L70*(100/(-K70))))</f>
        <v/>
      </c>
      <c r="Q70" s="29">
        <f>IF(O70="Win",P70,IF(O70="Loss",-L70,""))</f>
        <v/>
      </c>
      <c r="R70" s="29">
        <f>IF(Q70="","",SUM($Q$2:Q70))</f>
        <v/>
      </c>
      <c r="S70" s="25" t="n"/>
    </row>
    <row r="71">
      <c r="A71" s="24" t="n"/>
      <c r="B71" s="25" t="n"/>
      <c r="C71" s="27" t="n"/>
      <c r="D71" s="26" t="n"/>
      <c r="E71" s="27" t="n"/>
      <c r="F71" s="25" t="n"/>
      <c r="G71" s="27" t="n"/>
      <c r="H71" s="26" t="n"/>
      <c r="I71" s="27" t="n"/>
      <c r="J71" s="27" t="n"/>
      <c r="K71" s="27" t="n"/>
      <c r="L71" s="28" t="n"/>
      <c r="M71" s="27" t="n"/>
      <c r="N71" s="27" t="n"/>
      <c r="O71" s="27">
        <f>IF(AND(M71="",N71=""),"",IF(OR(M71="No Hit",N71="No Hit"),"Loss",IF(AND(M71="Hit",N71="Hit"),"Win","Pending")))</f>
        <v/>
      </c>
      <c r="P71" s="28">
        <f>IF(OR(K71="",L71=""),"",IF(K71&gt;0,L71*(K71/100),L71*(100/(-K71))))</f>
        <v/>
      </c>
      <c r="Q71" s="29">
        <f>IF(O71="Win",P71,IF(O71="Loss",-L71,""))</f>
        <v/>
      </c>
      <c r="R71" s="29">
        <f>IF(Q71="","",SUM($Q$2:Q71))</f>
        <v/>
      </c>
      <c r="S71" s="25" t="n"/>
    </row>
    <row r="72">
      <c r="A72" s="24" t="n"/>
      <c r="B72" s="25" t="n"/>
      <c r="C72" s="27" t="n"/>
      <c r="D72" s="26" t="n"/>
      <c r="E72" s="27" t="n"/>
      <c r="F72" s="25" t="n"/>
      <c r="G72" s="27" t="n"/>
      <c r="H72" s="26" t="n"/>
      <c r="I72" s="27" t="n"/>
      <c r="J72" s="27" t="n"/>
      <c r="K72" s="27" t="n"/>
      <c r="L72" s="28" t="n"/>
      <c r="M72" s="27" t="n"/>
      <c r="N72" s="27" t="n"/>
      <c r="O72" s="27">
        <f>IF(AND(M72="",N72=""),"",IF(OR(M72="No Hit",N72="No Hit"),"Loss",IF(AND(M72="Hit",N72="Hit"),"Win","Pending")))</f>
        <v/>
      </c>
      <c r="P72" s="28">
        <f>IF(OR(K72="",L72=""),"",IF(K72&gt;0,L72*(K72/100),L72*(100/(-K72))))</f>
        <v/>
      </c>
      <c r="Q72" s="29">
        <f>IF(O72="Win",P72,IF(O72="Loss",-L72,""))</f>
        <v/>
      </c>
      <c r="R72" s="29">
        <f>IF(Q72="","",SUM($Q$2:Q72))</f>
        <v/>
      </c>
      <c r="S72" s="25" t="n"/>
    </row>
    <row r="73">
      <c r="A73" s="24" t="n"/>
      <c r="B73" s="25" t="n"/>
      <c r="C73" s="27" t="n"/>
      <c r="D73" s="26" t="n"/>
      <c r="E73" s="27" t="n"/>
      <c r="F73" s="25" t="n"/>
      <c r="G73" s="27" t="n"/>
      <c r="H73" s="26" t="n"/>
      <c r="I73" s="27" t="n"/>
      <c r="J73" s="27" t="n"/>
      <c r="K73" s="27" t="n"/>
      <c r="L73" s="28" t="n"/>
      <c r="M73" s="27" t="n"/>
      <c r="N73" s="27" t="n"/>
      <c r="O73" s="27">
        <f>IF(AND(M73="",N73=""),"",IF(OR(M73="No Hit",N73="No Hit"),"Loss",IF(AND(M73="Hit",N73="Hit"),"Win","Pending")))</f>
        <v/>
      </c>
      <c r="P73" s="28">
        <f>IF(OR(K73="",L73=""),"",IF(K73&gt;0,L73*(K73/100),L73*(100/(-K73))))</f>
        <v/>
      </c>
      <c r="Q73" s="29">
        <f>IF(O73="Win",P73,IF(O73="Loss",-L73,""))</f>
        <v/>
      </c>
      <c r="R73" s="29">
        <f>IF(Q73="","",SUM($Q$2:Q73))</f>
        <v/>
      </c>
      <c r="S73" s="25" t="n"/>
    </row>
    <row r="74">
      <c r="A74" s="24" t="n"/>
      <c r="B74" s="25" t="n"/>
      <c r="C74" s="27" t="n"/>
      <c r="D74" s="26" t="n"/>
      <c r="E74" s="27" t="n"/>
      <c r="F74" s="25" t="n"/>
      <c r="G74" s="27" t="n"/>
      <c r="H74" s="26" t="n"/>
      <c r="I74" s="27" t="n"/>
      <c r="J74" s="27" t="n"/>
      <c r="K74" s="27" t="n"/>
      <c r="L74" s="28" t="n"/>
      <c r="M74" s="27" t="n"/>
      <c r="N74" s="27" t="n"/>
      <c r="O74" s="27">
        <f>IF(AND(M74="",N74=""),"",IF(OR(M74="No Hit",N74="No Hit"),"Loss",IF(AND(M74="Hit",N74="Hit"),"Win","Pending")))</f>
        <v/>
      </c>
      <c r="P74" s="28">
        <f>IF(OR(K74="",L74=""),"",IF(K74&gt;0,L74*(K74/100),L74*(100/(-K74))))</f>
        <v/>
      </c>
      <c r="Q74" s="29">
        <f>IF(O74="Win",P74,IF(O74="Loss",-L74,""))</f>
        <v/>
      </c>
      <c r="R74" s="29">
        <f>IF(Q74="","",SUM($Q$2:Q74))</f>
        <v/>
      </c>
      <c r="S74" s="25" t="n"/>
    </row>
    <row r="75">
      <c r="A75" s="24" t="n"/>
      <c r="B75" s="25" t="n"/>
      <c r="C75" s="27" t="n"/>
      <c r="D75" s="26" t="n"/>
      <c r="E75" s="27" t="n"/>
      <c r="F75" s="25" t="n"/>
      <c r="G75" s="27" t="n"/>
      <c r="H75" s="26" t="n"/>
      <c r="I75" s="27" t="n"/>
      <c r="J75" s="27" t="n"/>
      <c r="K75" s="27" t="n"/>
      <c r="L75" s="28" t="n"/>
      <c r="M75" s="27" t="n"/>
      <c r="N75" s="27" t="n"/>
      <c r="O75" s="27">
        <f>IF(AND(M75="",N75=""),"",IF(OR(M75="No Hit",N75="No Hit"),"Loss",IF(AND(M75="Hit",N75="Hit"),"Win","Pending")))</f>
        <v/>
      </c>
      <c r="P75" s="28">
        <f>IF(OR(K75="",L75=""),"",IF(K75&gt;0,L75*(K75/100),L75*(100/(-K75))))</f>
        <v/>
      </c>
      <c r="Q75" s="29">
        <f>IF(O75="Win",P75,IF(O75="Loss",-L75,""))</f>
        <v/>
      </c>
      <c r="R75" s="29">
        <f>IF(Q75="","",SUM($Q$2:Q75))</f>
        <v/>
      </c>
      <c r="S75" s="25" t="n"/>
    </row>
    <row r="76">
      <c r="A76" s="24" t="n"/>
      <c r="B76" s="25" t="n"/>
      <c r="C76" s="27" t="n"/>
      <c r="D76" s="26" t="n"/>
      <c r="E76" s="27" t="n"/>
      <c r="F76" s="25" t="n"/>
      <c r="G76" s="27" t="n"/>
      <c r="H76" s="26" t="n"/>
      <c r="I76" s="27" t="n"/>
      <c r="J76" s="27" t="n"/>
      <c r="K76" s="27" t="n"/>
      <c r="L76" s="28" t="n"/>
      <c r="M76" s="27" t="n"/>
      <c r="N76" s="27" t="n"/>
      <c r="O76" s="27">
        <f>IF(AND(M76="",N76=""),"",IF(OR(M76="No Hit",N76="No Hit"),"Loss",IF(AND(M76="Hit",N76="Hit"),"Win","Pending")))</f>
        <v/>
      </c>
      <c r="P76" s="28">
        <f>IF(OR(K76="",L76=""),"",IF(K76&gt;0,L76*(K76/100),L76*(100/(-K76))))</f>
        <v/>
      </c>
      <c r="Q76" s="29">
        <f>IF(O76="Win",P76,IF(O76="Loss",-L76,""))</f>
        <v/>
      </c>
      <c r="R76" s="29">
        <f>IF(Q76="","",SUM($Q$2:Q76))</f>
        <v/>
      </c>
      <c r="S76" s="25" t="n"/>
    </row>
    <row r="77">
      <c r="A77" s="24" t="n"/>
      <c r="B77" s="25" t="n"/>
      <c r="C77" s="27" t="n"/>
      <c r="D77" s="26" t="n"/>
      <c r="E77" s="27" t="n"/>
      <c r="F77" s="25" t="n"/>
      <c r="G77" s="27" t="n"/>
      <c r="H77" s="26" t="n"/>
      <c r="I77" s="27" t="n"/>
      <c r="J77" s="27" t="n"/>
      <c r="K77" s="27" t="n"/>
      <c r="L77" s="28" t="n"/>
      <c r="M77" s="27" t="n"/>
      <c r="N77" s="27" t="n"/>
      <c r="O77" s="27">
        <f>IF(AND(M77="",N77=""),"",IF(OR(M77="No Hit",N77="No Hit"),"Loss",IF(AND(M77="Hit",N77="Hit"),"Win","Pending")))</f>
        <v/>
      </c>
      <c r="P77" s="28">
        <f>IF(OR(K77="",L77=""),"",IF(K77&gt;0,L77*(K77/100),L77*(100/(-K77))))</f>
        <v/>
      </c>
      <c r="Q77" s="29">
        <f>IF(O77="Win",P77,IF(O77="Loss",-L77,""))</f>
        <v/>
      </c>
      <c r="R77" s="29">
        <f>IF(Q77="","",SUM($Q$2:Q77))</f>
        <v/>
      </c>
      <c r="S77" s="25" t="n"/>
    </row>
    <row r="78">
      <c r="A78" s="24" t="n"/>
      <c r="B78" s="25" t="n"/>
      <c r="C78" s="27" t="n"/>
      <c r="D78" s="26" t="n"/>
      <c r="E78" s="27" t="n"/>
      <c r="F78" s="25" t="n"/>
      <c r="G78" s="27" t="n"/>
      <c r="H78" s="26" t="n"/>
      <c r="I78" s="27" t="n"/>
      <c r="J78" s="27" t="n"/>
      <c r="K78" s="27" t="n"/>
      <c r="L78" s="28" t="n"/>
      <c r="M78" s="27" t="n"/>
      <c r="N78" s="27" t="n"/>
      <c r="O78" s="27">
        <f>IF(AND(M78="",N78=""),"",IF(OR(M78="No Hit",N78="No Hit"),"Loss",IF(AND(M78="Hit",N78="Hit"),"Win","Pending")))</f>
        <v/>
      </c>
      <c r="P78" s="28">
        <f>IF(OR(K78="",L78=""),"",IF(K78&gt;0,L78*(K78/100),L78*(100/(-K78))))</f>
        <v/>
      </c>
      <c r="Q78" s="29">
        <f>IF(O78="Win",P78,IF(O78="Loss",-L78,""))</f>
        <v/>
      </c>
      <c r="R78" s="29">
        <f>IF(Q78="","",SUM($Q$2:Q78))</f>
        <v/>
      </c>
      <c r="S78" s="25" t="n"/>
    </row>
    <row r="79">
      <c r="A79" s="24" t="n"/>
      <c r="B79" s="25" t="n"/>
      <c r="C79" s="27" t="n"/>
      <c r="D79" s="26" t="n"/>
      <c r="E79" s="27" t="n"/>
      <c r="F79" s="25" t="n"/>
      <c r="G79" s="27" t="n"/>
      <c r="H79" s="26" t="n"/>
      <c r="I79" s="27" t="n"/>
      <c r="J79" s="27" t="n"/>
      <c r="K79" s="27" t="n"/>
      <c r="L79" s="28" t="n"/>
      <c r="M79" s="27" t="n"/>
      <c r="N79" s="27" t="n"/>
      <c r="O79" s="27">
        <f>IF(AND(M79="",N79=""),"",IF(OR(M79="No Hit",N79="No Hit"),"Loss",IF(AND(M79="Hit",N79="Hit"),"Win","Pending")))</f>
        <v/>
      </c>
      <c r="P79" s="28">
        <f>IF(OR(K79="",L79=""),"",IF(K79&gt;0,L79*(K79/100),L79*(100/(-K79))))</f>
        <v/>
      </c>
      <c r="Q79" s="29">
        <f>IF(O79="Win",P79,IF(O79="Loss",-L79,""))</f>
        <v/>
      </c>
      <c r="R79" s="29">
        <f>IF(Q79="","",SUM($Q$2:Q79))</f>
        <v/>
      </c>
      <c r="S79" s="25" t="n"/>
    </row>
    <row r="80">
      <c r="A80" s="24" t="n"/>
      <c r="B80" s="25" t="n"/>
      <c r="C80" s="27" t="n"/>
      <c r="D80" s="26" t="n"/>
      <c r="E80" s="27" t="n"/>
      <c r="F80" s="25" t="n"/>
      <c r="G80" s="27" t="n"/>
      <c r="H80" s="26" t="n"/>
      <c r="I80" s="27" t="n"/>
      <c r="J80" s="27" t="n"/>
      <c r="K80" s="27" t="n"/>
      <c r="L80" s="28" t="n"/>
      <c r="M80" s="27" t="n"/>
      <c r="N80" s="27" t="n"/>
      <c r="O80" s="27">
        <f>IF(AND(M80="",N80=""),"",IF(OR(M80="No Hit",N80="No Hit"),"Loss",IF(AND(M80="Hit",N80="Hit"),"Win","Pending")))</f>
        <v/>
      </c>
      <c r="P80" s="28">
        <f>IF(OR(K80="",L80=""),"",IF(K80&gt;0,L80*(K80/100),L80*(100/(-K80))))</f>
        <v/>
      </c>
      <c r="Q80" s="29">
        <f>IF(O80="Win",P80,IF(O80="Loss",-L80,""))</f>
        <v/>
      </c>
      <c r="R80" s="29">
        <f>IF(Q80="","",SUM($Q$2:Q80))</f>
        <v/>
      </c>
      <c r="S80" s="25" t="n"/>
    </row>
    <row r="81">
      <c r="A81" s="24" t="n"/>
      <c r="B81" s="25" t="n"/>
      <c r="C81" s="27" t="n"/>
      <c r="D81" s="26" t="n"/>
      <c r="E81" s="27" t="n"/>
      <c r="F81" s="25" t="n"/>
      <c r="G81" s="27" t="n"/>
      <c r="H81" s="26" t="n"/>
      <c r="I81" s="27" t="n"/>
      <c r="J81" s="27" t="n"/>
      <c r="K81" s="27" t="n"/>
      <c r="L81" s="28" t="n"/>
      <c r="M81" s="27" t="n"/>
      <c r="N81" s="27" t="n"/>
      <c r="O81" s="27">
        <f>IF(AND(M81="",N81=""),"",IF(OR(M81="No Hit",N81="No Hit"),"Loss",IF(AND(M81="Hit",N81="Hit"),"Win","Pending")))</f>
        <v/>
      </c>
      <c r="P81" s="28">
        <f>IF(OR(K81="",L81=""),"",IF(K81&gt;0,L81*(K81/100),L81*(100/(-K81))))</f>
        <v/>
      </c>
      <c r="Q81" s="29">
        <f>IF(O81="Win",P81,IF(O81="Loss",-L81,""))</f>
        <v/>
      </c>
      <c r="R81" s="29">
        <f>IF(Q81="","",SUM($Q$2:Q81))</f>
        <v/>
      </c>
      <c r="S81" s="25" t="n"/>
    </row>
    <row r="82">
      <c r="A82" s="24" t="n"/>
      <c r="B82" s="25" t="n"/>
      <c r="C82" s="27" t="n"/>
      <c r="D82" s="26" t="n"/>
      <c r="E82" s="27" t="n"/>
      <c r="F82" s="25" t="n"/>
      <c r="G82" s="27" t="n"/>
      <c r="H82" s="26" t="n"/>
      <c r="I82" s="27" t="n"/>
      <c r="J82" s="27" t="n"/>
      <c r="K82" s="27" t="n"/>
      <c r="L82" s="28" t="n"/>
      <c r="M82" s="27" t="n"/>
      <c r="N82" s="27" t="n"/>
      <c r="O82" s="27">
        <f>IF(AND(M82="",N82=""),"",IF(OR(M82="No Hit",N82="No Hit"),"Loss",IF(AND(M82="Hit",N82="Hit"),"Win","Pending")))</f>
        <v/>
      </c>
      <c r="P82" s="28">
        <f>IF(OR(K82="",L82=""),"",IF(K82&gt;0,L82*(K82/100),L82*(100/(-K82))))</f>
        <v/>
      </c>
      <c r="Q82" s="29">
        <f>IF(O82="Win",P82,IF(O82="Loss",-L82,""))</f>
        <v/>
      </c>
      <c r="R82" s="29">
        <f>IF(Q82="","",SUM($Q$2:Q82))</f>
        <v/>
      </c>
      <c r="S82" s="25" t="n"/>
    </row>
    <row r="83">
      <c r="A83" s="24" t="n"/>
      <c r="B83" s="25" t="n"/>
      <c r="C83" s="27" t="n"/>
      <c r="D83" s="26" t="n"/>
      <c r="E83" s="27" t="n"/>
      <c r="F83" s="25" t="n"/>
      <c r="G83" s="27" t="n"/>
      <c r="H83" s="26" t="n"/>
      <c r="I83" s="27" t="n"/>
      <c r="J83" s="27" t="n"/>
      <c r="K83" s="27" t="n"/>
      <c r="L83" s="28" t="n"/>
      <c r="M83" s="27" t="n"/>
      <c r="N83" s="27" t="n"/>
      <c r="O83" s="27">
        <f>IF(AND(M83="",N83=""),"",IF(OR(M83="No Hit",N83="No Hit"),"Loss",IF(AND(M83="Hit",N83="Hit"),"Win","Pending")))</f>
        <v/>
      </c>
      <c r="P83" s="28">
        <f>IF(OR(K83="",L83=""),"",IF(K83&gt;0,L83*(K83/100),L83*(100/(-K83))))</f>
        <v/>
      </c>
      <c r="Q83" s="29">
        <f>IF(O83="Win",P83,IF(O83="Loss",-L83,""))</f>
        <v/>
      </c>
      <c r="R83" s="29">
        <f>IF(Q83="","",SUM($Q$2:Q83))</f>
        <v/>
      </c>
      <c r="S83" s="25" t="n"/>
    </row>
    <row r="84">
      <c r="A84" s="24" t="n"/>
      <c r="B84" s="25" t="n"/>
      <c r="C84" s="27" t="n"/>
      <c r="D84" s="26" t="n"/>
      <c r="E84" s="27" t="n"/>
      <c r="F84" s="25" t="n"/>
      <c r="G84" s="27" t="n"/>
      <c r="H84" s="26" t="n"/>
      <c r="I84" s="27" t="n"/>
      <c r="J84" s="27" t="n"/>
      <c r="K84" s="27" t="n"/>
      <c r="L84" s="28" t="n"/>
      <c r="M84" s="27" t="n"/>
      <c r="N84" s="27" t="n"/>
      <c r="O84" s="27">
        <f>IF(AND(M84="",N84=""),"",IF(OR(M84="No Hit",N84="No Hit"),"Loss",IF(AND(M84="Hit",N84="Hit"),"Win","Pending")))</f>
        <v/>
      </c>
      <c r="P84" s="28">
        <f>IF(OR(K84="",L84=""),"",IF(K84&gt;0,L84*(K84/100),L84*(100/(-K84))))</f>
        <v/>
      </c>
      <c r="Q84" s="29">
        <f>IF(O84="Win",P84,IF(O84="Loss",-L84,""))</f>
        <v/>
      </c>
      <c r="R84" s="29">
        <f>IF(Q84="","",SUM($Q$2:Q84))</f>
        <v/>
      </c>
      <c r="S84" s="25" t="n"/>
    </row>
    <row r="85">
      <c r="A85" s="24" t="n"/>
      <c r="B85" s="25" t="n"/>
      <c r="C85" s="27" t="n"/>
      <c r="D85" s="26" t="n"/>
      <c r="E85" s="27" t="n"/>
      <c r="F85" s="25" t="n"/>
      <c r="G85" s="27" t="n"/>
      <c r="H85" s="26" t="n"/>
      <c r="I85" s="27" t="n"/>
      <c r="J85" s="27" t="n"/>
      <c r="K85" s="27" t="n"/>
      <c r="L85" s="28" t="n"/>
      <c r="M85" s="27" t="n"/>
      <c r="N85" s="27" t="n"/>
      <c r="O85" s="27">
        <f>IF(AND(M85="",N85=""),"",IF(OR(M85="No Hit",N85="No Hit"),"Loss",IF(AND(M85="Hit",N85="Hit"),"Win","Pending")))</f>
        <v/>
      </c>
      <c r="P85" s="28">
        <f>IF(OR(K85="",L85=""),"",IF(K85&gt;0,L85*(K85/100),L85*(100/(-K85))))</f>
        <v/>
      </c>
      <c r="Q85" s="29">
        <f>IF(O85="Win",P85,IF(O85="Loss",-L85,""))</f>
        <v/>
      </c>
      <c r="R85" s="29">
        <f>IF(Q85="","",SUM($Q$2:Q85))</f>
        <v/>
      </c>
      <c r="S85" s="25" t="n"/>
    </row>
    <row r="86">
      <c r="A86" s="24" t="n"/>
      <c r="B86" s="25" t="n"/>
      <c r="C86" s="27" t="n"/>
      <c r="D86" s="26" t="n"/>
      <c r="E86" s="27" t="n"/>
      <c r="F86" s="25" t="n"/>
      <c r="G86" s="27" t="n"/>
      <c r="H86" s="26" t="n"/>
      <c r="I86" s="27" t="n"/>
      <c r="J86" s="27" t="n"/>
      <c r="K86" s="27" t="n"/>
      <c r="L86" s="28" t="n"/>
      <c r="M86" s="27" t="n"/>
      <c r="N86" s="27" t="n"/>
      <c r="O86" s="27">
        <f>IF(AND(M86="",N86=""),"",IF(OR(M86="No Hit",N86="No Hit"),"Loss",IF(AND(M86="Hit",N86="Hit"),"Win","Pending")))</f>
        <v/>
      </c>
      <c r="P86" s="28">
        <f>IF(OR(K86="",L86=""),"",IF(K86&gt;0,L86*(K86/100),L86*(100/(-K86))))</f>
        <v/>
      </c>
      <c r="Q86" s="29">
        <f>IF(O86="Win",P86,IF(O86="Loss",-L86,""))</f>
        <v/>
      </c>
      <c r="R86" s="29">
        <f>IF(Q86="","",SUM($Q$2:Q86))</f>
        <v/>
      </c>
      <c r="S86" s="25" t="n"/>
    </row>
    <row r="87">
      <c r="A87" s="24" t="n"/>
      <c r="B87" s="25" t="n"/>
      <c r="C87" s="27" t="n"/>
      <c r="D87" s="26" t="n"/>
      <c r="E87" s="27" t="n"/>
      <c r="F87" s="25" t="n"/>
      <c r="G87" s="27" t="n"/>
      <c r="H87" s="26" t="n"/>
      <c r="I87" s="27" t="n"/>
      <c r="J87" s="27" t="n"/>
      <c r="K87" s="27" t="n"/>
      <c r="L87" s="28" t="n"/>
      <c r="M87" s="27" t="n"/>
      <c r="N87" s="27" t="n"/>
      <c r="O87" s="27">
        <f>IF(AND(M87="",N87=""),"",IF(OR(M87="No Hit",N87="No Hit"),"Loss",IF(AND(M87="Hit",N87="Hit"),"Win","Pending")))</f>
        <v/>
      </c>
      <c r="P87" s="28">
        <f>IF(OR(K87="",L87=""),"",IF(K87&gt;0,L87*(K87/100),L87*(100/(-K87))))</f>
        <v/>
      </c>
      <c r="Q87" s="29">
        <f>IF(O87="Win",P87,IF(O87="Loss",-L87,""))</f>
        <v/>
      </c>
      <c r="R87" s="29">
        <f>IF(Q87="","",SUM($Q$2:Q87))</f>
        <v/>
      </c>
      <c r="S87" s="25" t="n"/>
    </row>
    <row r="88">
      <c r="A88" s="24" t="n"/>
      <c r="B88" s="25" t="n"/>
      <c r="C88" s="27" t="n"/>
      <c r="D88" s="26" t="n"/>
      <c r="E88" s="27" t="n"/>
      <c r="F88" s="25" t="n"/>
      <c r="G88" s="27" t="n"/>
      <c r="H88" s="26" t="n"/>
      <c r="I88" s="27" t="n"/>
      <c r="J88" s="27" t="n"/>
      <c r="K88" s="27" t="n"/>
      <c r="L88" s="28" t="n"/>
      <c r="M88" s="27" t="n"/>
      <c r="N88" s="27" t="n"/>
      <c r="O88" s="27">
        <f>IF(AND(M88="",N88=""),"",IF(OR(M88="No Hit",N88="No Hit"),"Loss",IF(AND(M88="Hit",N88="Hit"),"Win","Pending")))</f>
        <v/>
      </c>
      <c r="P88" s="28">
        <f>IF(OR(K88="",L88=""),"",IF(K88&gt;0,L88*(K88/100),L88*(100/(-K88))))</f>
        <v/>
      </c>
      <c r="Q88" s="29">
        <f>IF(O88="Win",P88,IF(O88="Loss",-L88,""))</f>
        <v/>
      </c>
      <c r="R88" s="29">
        <f>IF(Q88="","",SUM($Q$2:Q88))</f>
        <v/>
      </c>
      <c r="S88" s="25" t="n"/>
    </row>
    <row r="89">
      <c r="A89" s="24" t="n"/>
      <c r="B89" s="25" t="n"/>
      <c r="C89" s="27" t="n"/>
      <c r="D89" s="26" t="n"/>
      <c r="E89" s="27" t="n"/>
      <c r="F89" s="25" t="n"/>
      <c r="G89" s="27" t="n"/>
      <c r="H89" s="26" t="n"/>
      <c r="I89" s="27" t="n"/>
      <c r="J89" s="27" t="n"/>
      <c r="K89" s="27" t="n"/>
      <c r="L89" s="28" t="n"/>
      <c r="M89" s="27" t="n"/>
      <c r="N89" s="27" t="n"/>
      <c r="O89" s="27">
        <f>IF(AND(M89="",N89=""),"",IF(OR(M89="No Hit",N89="No Hit"),"Loss",IF(AND(M89="Hit",N89="Hit"),"Win","Pending")))</f>
        <v/>
      </c>
      <c r="P89" s="28">
        <f>IF(OR(K89="",L89=""),"",IF(K89&gt;0,L89*(K89/100),L89*(100/(-K89))))</f>
        <v/>
      </c>
      <c r="Q89" s="29">
        <f>IF(O89="Win",P89,IF(O89="Loss",-L89,""))</f>
        <v/>
      </c>
      <c r="R89" s="29">
        <f>IF(Q89="","",SUM($Q$2:Q89))</f>
        <v/>
      </c>
      <c r="S89" s="25" t="n"/>
    </row>
    <row r="90">
      <c r="A90" s="24" t="n"/>
      <c r="B90" s="25" t="n"/>
      <c r="C90" s="27" t="n"/>
      <c r="D90" s="26" t="n"/>
      <c r="E90" s="27" t="n"/>
      <c r="F90" s="25" t="n"/>
      <c r="G90" s="27" t="n"/>
      <c r="H90" s="26" t="n"/>
      <c r="I90" s="27" t="n"/>
      <c r="J90" s="27" t="n"/>
      <c r="K90" s="27" t="n"/>
      <c r="L90" s="28" t="n"/>
      <c r="M90" s="27" t="n"/>
      <c r="N90" s="27" t="n"/>
      <c r="O90" s="27">
        <f>IF(AND(M90="",N90=""),"",IF(OR(M90="No Hit",N90="No Hit"),"Loss",IF(AND(M90="Hit",N90="Hit"),"Win","Pending")))</f>
        <v/>
      </c>
      <c r="P90" s="28">
        <f>IF(OR(K90="",L90=""),"",IF(K90&gt;0,L90*(K90/100),L90*(100/(-K90))))</f>
        <v/>
      </c>
      <c r="Q90" s="29">
        <f>IF(O90="Win",P90,IF(O90="Loss",-L90,""))</f>
        <v/>
      </c>
      <c r="R90" s="29">
        <f>IF(Q90="","",SUM($Q$2:Q90))</f>
        <v/>
      </c>
      <c r="S90" s="25" t="n"/>
    </row>
    <row r="91">
      <c r="A91" s="24" t="n"/>
      <c r="B91" s="25" t="n"/>
      <c r="C91" s="27" t="n"/>
      <c r="D91" s="26" t="n"/>
      <c r="E91" s="27" t="n"/>
      <c r="F91" s="25" t="n"/>
      <c r="G91" s="27" t="n"/>
      <c r="H91" s="26" t="n"/>
      <c r="I91" s="27" t="n"/>
      <c r="J91" s="27" t="n"/>
      <c r="K91" s="27" t="n"/>
      <c r="L91" s="28" t="n"/>
      <c r="M91" s="27" t="n"/>
      <c r="N91" s="27" t="n"/>
      <c r="O91" s="27">
        <f>IF(AND(M91="",N91=""),"",IF(OR(M91="No Hit",N91="No Hit"),"Loss",IF(AND(M91="Hit",N91="Hit"),"Win","Pending")))</f>
        <v/>
      </c>
      <c r="P91" s="28">
        <f>IF(OR(K91="",L91=""),"",IF(K91&gt;0,L91*(K91/100),L91*(100/(-K91))))</f>
        <v/>
      </c>
      <c r="Q91" s="29">
        <f>IF(O91="Win",P91,IF(O91="Loss",-L91,""))</f>
        <v/>
      </c>
      <c r="R91" s="29">
        <f>IF(Q91="","",SUM($Q$2:Q91))</f>
        <v/>
      </c>
      <c r="S91" s="25" t="n"/>
    </row>
    <row r="92">
      <c r="A92" s="24" t="n"/>
      <c r="B92" s="25" t="n"/>
      <c r="C92" s="27" t="n"/>
      <c r="D92" s="26" t="n"/>
      <c r="E92" s="27" t="n"/>
      <c r="F92" s="25" t="n"/>
      <c r="G92" s="27" t="n"/>
      <c r="H92" s="26" t="n"/>
      <c r="I92" s="27" t="n"/>
      <c r="J92" s="27" t="n"/>
      <c r="K92" s="27" t="n"/>
      <c r="L92" s="28" t="n"/>
      <c r="M92" s="27" t="n"/>
      <c r="N92" s="27" t="n"/>
      <c r="O92" s="27">
        <f>IF(AND(M92="",N92=""),"",IF(OR(M92="No Hit",N92="No Hit"),"Loss",IF(AND(M92="Hit",N92="Hit"),"Win","Pending")))</f>
        <v/>
      </c>
      <c r="P92" s="28">
        <f>IF(OR(K92="",L92=""),"",IF(K92&gt;0,L92*(K92/100),L92*(100/(-K92))))</f>
        <v/>
      </c>
      <c r="Q92" s="29">
        <f>IF(O92="Win",P92,IF(O92="Loss",-L92,""))</f>
        <v/>
      </c>
      <c r="R92" s="29">
        <f>IF(Q92="","",SUM($Q$2:Q92))</f>
        <v/>
      </c>
      <c r="S92" s="25" t="n"/>
    </row>
    <row r="93">
      <c r="A93" s="24" t="n"/>
      <c r="B93" s="25" t="n"/>
      <c r="C93" s="27" t="n"/>
      <c r="D93" s="26" t="n"/>
      <c r="E93" s="27" t="n"/>
      <c r="F93" s="25" t="n"/>
      <c r="G93" s="27" t="n"/>
      <c r="H93" s="26" t="n"/>
      <c r="I93" s="27" t="n"/>
      <c r="J93" s="27" t="n"/>
      <c r="K93" s="27" t="n"/>
      <c r="L93" s="28" t="n"/>
      <c r="M93" s="27" t="n"/>
      <c r="N93" s="27" t="n"/>
      <c r="O93" s="27">
        <f>IF(AND(M93="",N93=""),"",IF(OR(M93="No Hit",N93="No Hit"),"Loss",IF(AND(M93="Hit",N93="Hit"),"Win","Pending")))</f>
        <v/>
      </c>
      <c r="P93" s="28">
        <f>IF(OR(K93="",L93=""),"",IF(K93&gt;0,L93*(K93/100),L93*(100/(-K93))))</f>
        <v/>
      </c>
      <c r="Q93" s="29">
        <f>IF(O93="Win",P93,IF(O93="Loss",-L93,""))</f>
        <v/>
      </c>
      <c r="R93" s="29">
        <f>IF(Q93="","",SUM($Q$2:Q93))</f>
        <v/>
      </c>
      <c r="S93" s="25" t="n"/>
    </row>
    <row r="94">
      <c r="A94" s="24" t="n"/>
      <c r="B94" s="25" t="n"/>
      <c r="C94" s="27" t="n"/>
      <c r="D94" s="26" t="n"/>
      <c r="E94" s="27" t="n"/>
      <c r="F94" s="25" t="n"/>
      <c r="G94" s="27" t="n"/>
      <c r="H94" s="26" t="n"/>
      <c r="I94" s="27" t="n"/>
      <c r="J94" s="27" t="n"/>
      <c r="K94" s="27" t="n"/>
      <c r="L94" s="28" t="n"/>
      <c r="M94" s="27" t="n"/>
      <c r="N94" s="27" t="n"/>
      <c r="O94" s="27">
        <f>IF(AND(M94="",N94=""),"",IF(OR(M94="No Hit",N94="No Hit"),"Loss",IF(AND(M94="Hit",N94="Hit"),"Win","Pending")))</f>
        <v/>
      </c>
      <c r="P94" s="28">
        <f>IF(OR(K94="",L94=""),"",IF(K94&gt;0,L94*(K94/100),L94*(100/(-K94))))</f>
        <v/>
      </c>
      <c r="Q94" s="29">
        <f>IF(O94="Win",P94,IF(O94="Loss",-L94,""))</f>
        <v/>
      </c>
      <c r="R94" s="29">
        <f>IF(Q94="","",SUM($Q$2:Q94))</f>
        <v/>
      </c>
      <c r="S94" s="25" t="n"/>
    </row>
    <row r="95">
      <c r="A95" s="24" t="n"/>
      <c r="B95" s="25" t="n"/>
      <c r="C95" s="27" t="n"/>
      <c r="D95" s="26" t="n"/>
      <c r="E95" s="27" t="n"/>
      <c r="F95" s="25" t="n"/>
      <c r="G95" s="27" t="n"/>
      <c r="H95" s="26" t="n"/>
      <c r="I95" s="27" t="n"/>
      <c r="J95" s="27" t="n"/>
      <c r="K95" s="27" t="n"/>
      <c r="L95" s="28" t="n"/>
      <c r="M95" s="27" t="n"/>
      <c r="N95" s="27" t="n"/>
      <c r="O95" s="27">
        <f>IF(AND(M95="",N95=""),"",IF(OR(M95="No Hit",N95="No Hit"),"Loss",IF(AND(M95="Hit",N95="Hit"),"Win","Pending")))</f>
        <v/>
      </c>
      <c r="P95" s="28">
        <f>IF(OR(K95="",L95=""),"",IF(K95&gt;0,L95*(K95/100),L95*(100/(-K95))))</f>
        <v/>
      </c>
      <c r="Q95" s="29">
        <f>IF(O95="Win",P95,IF(O95="Loss",-L95,""))</f>
        <v/>
      </c>
      <c r="R95" s="29">
        <f>IF(Q95="","",SUM($Q$2:Q95))</f>
        <v/>
      </c>
      <c r="S95" s="25" t="n"/>
    </row>
    <row r="96">
      <c r="A96" s="24" t="n"/>
      <c r="B96" s="25" t="n"/>
      <c r="C96" s="27" t="n"/>
      <c r="D96" s="26" t="n"/>
      <c r="E96" s="27" t="n"/>
      <c r="F96" s="25" t="n"/>
      <c r="G96" s="27" t="n"/>
      <c r="H96" s="26" t="n"/>
      <c r="I96" s="27" t="n"/>
      <c r="J96" s="27" t="n"/>
      <c r="K96" s="27" t="n"/>
      <c r="L96" s="28" t="n"/>
      <c r="M96" s="27" t="n"/>
      <c r="N96" s="27" t="n"/>
      <c r="O96" s="27">
        <f>IF(AND(M96="",N96=""),"",IF(OR(M96="No Hit",N96="No Hit"),"Loss",IF(AND(M96="Hit",N96="Hit"),"Win","Pending")))</f>
        <v/>
      </c>
      <c r="P96" s="28">
        <f>IF(OR(K96="",L96=""),"",IF(K96&gt;0,L96*(K96/100),L96*(100/(-K96))))</f>
        <v/>
      </c>
      <c r="Q96" s="29">
        <f>IF(O96="Win",P96,IF(O96="Loss",-L96,""))</f>
        <v/>
      </c>
      <c r="R96" s="29">
        <f>IF(Q96="","",SUM($Q$2:Q96))</f>
        <v/>
      </c>
      <c r="S96" s="25" t="n"/>
    </row>
    <row r="97">
      <c r="A97" s="24" t="n"/>
      <c r="B97" s="25" t="n"/>
      <c r="C97" s="27" t="n"/>
      <c r="D97" s="26" t="n"/>
      <c r="E97" s="27" t="n"/>
      <c r="F97" s="25" t="n"/>
      <c r="G97" s="27" t="n"/>
      <c r="H97" s="26" t="n"/>
      <c r="I97" s="27" t="n"/>
      <c r="J97" s="27" t="n"/>
      <c r="K97" s="27" t="n"/>
      <c r="L97" s="28" t="n"/>
      <c r="M97" s="27" t="n"/>
      <c r="N97" s="27" t="n"/>
      <c r="O97" s="27">
        <f>IF(AND(M97="",N97=""),"",IF(OR(M97="No Hit",N97="No Hit"),"Loss",IF(AND(M97="Hit",N97="Hit"),"Win","Pending")))</f>
        <v/>
      </c>
      <c r="P97" s="28">
        <f>IF(OR(K97="",L97=""),"",IF(K97&gt;0,L97*(K97/100),L97*(100/(-K97))))</f>
        <v/>
      </c>
      <c r="Q97" s="29">
        <f>IF(O97="Win",P97,IF(O97="Loss",-L97,""))</f>
        <v/>
      </c>
      <c r="R97" s="29">
        <f>IF(Q97="","",SUM($Q$2:Q97))</f>
        <v/>
      </c>
      <c r="S97" s="25" t="n"/>
    </row>
    <row r="98">
      <c r="A98" s="24" t="n"/>
      <c r="B98" s="25" t="n"/>
      <c r="C98" s="27" t="n"/>
      <c r="D98" s="26" t="n"/>
      <c r="E98" s="27" t="n"/>
      <c r="F98" s="25" t="n"/>
      <c r="G98" s="27" t="n"/>
      <c r="H98" s="26" t="n"/>
      <c r="I98" s="27" t="n"/>
      <c r="J98" s="27" t="n"/>
      <c r="K98" s="27" t="n"/>
      <c r="L98" s="28" t="n"/>
      <c r="M98" s="27" t="n"/>
      <c r="N98" s="27" t="n"/>
      <c r="O98" s="27">
        <f>IF(AND(M98="",N98=""),"",IF(OR(M98="No Hit",N98="No Hit"),"Loss",IF(AND(M98="Hit",N98="Hit"),"Win","Pending")))</f>
        <v/>
      </c>
      <c r="P98" s="28">
        <f>IF(OR(K98="",L98=""),"",IF(K98&gt;0,L98*(K98/100),L98*(100/(-K98))))</f>
        <v/>
      </c>
      <c r="Q98" s="29">
        <f>IF(O98="Win",P98,IF(O98="Loss",-L98,""))</f>
        <v/>
      </c>
      <c r="R98" s="29">
        <f>IF(Q98="","",SUM($Q$2:Q98))</f>
        <v/>
      </c>
      <c r="S98" s="25" t="n"/>
    </row>
    <row r="99">
      <c r="A99" s="24" t="n"/>
      <c r="B99" s="25" t="n"/>
      <c r="C99" s="27" t="n"/>
      <c r="D99" s="26" t="n"/>
      <c r="E99" s="27" t="n"/>
      <c r="F99" s="25" t="n"/>
      <c r="G99" s="27" t="n"/>
      <c r="H99" s="26" t="n"/>
      <c r="I99" s="27" t="n"/>
      <c r="J99" s="27" t="n"/>
      <c r="K99" s="27" t="n"/>
      <c r="L99" s="28" t="n"/>
      <c r="M99" s="27" t="n"/>
      <c r="N99" s="27" t="n"/>
      <c r="O99" s="27">
        <f>IF(AND(M99="",N99=""),"",IF(OR(M99="No Hit",N99="No Hit"),"Loss",IF(AND(M99="Hit",N99="Hit"),"Win","Pending")))</f>
        <v/>
      </c>
      <c r="P99" s="28">
        <f>IF(OR(K99="",L99=""),"",IF(K99&gt;0,L99*(K99/100),L99*(100/(-K99))))</f>
        <v/>
      </c>
      <c r="Q99" s="29">
        <f>IF(O99="Win",P99,IF(O99="Loss",-L99,""))</f>
        <v/>
      </c>
      <c r="R99" s="29">
        <f>IF(Q99="","",SUM($Q$2:Q99))</f>
        <v/>
      </c>
      <c r="S99" s="25" t="n"/>
    </row>
    <row r="100">
      <c r="A100" s="24" t="n"/>
      <c r="B100" s="25" t="n"/>
      <c r="C100" s="27" t="n"/>
      <c r="D100" s="26" t="n"/>
      <c r="E100" s="27" t="n"/>
      <c r="F100" s="25" t="n"/>
      <c r="G100" s="27" t="n"/>
      <c r="H100" s="26" t="n"/>
      <c r="I100" s="27" t="n"/>
      <c r="J100" s="27" t="n"/>
      <c r="K100" s="27" t="n"/>
      <c r="L100" s="28" t="n"/>
      <c r="M100" s="27" t="n"/>
      <c r="N100" s="27" t="n"/>
      <c r="O100" s="27">
        <f>IF(AND(M100="",N100=""),"",IF(OR(M100="No Hit",N100="No Hit"),"Loss",IF(AND(M100="Hit",N100="Hit"),"Win","Pending")))</f>
        <v/>
      </c>
      <c r="P100" s="28">
        <f>IF(OR(K100="",L100=""),"",IF(K100&gt;0,L100*(K100/100),L100*(100/(-K100))))</f>
        <v/>
      </c>
      <c r="Q100" s="29">
        <f>IF(O100="Win",P100,IF(O100="Loss",-L100,""))</f>
        <v/>
      </c>
      <c r="R100" s="29">
        <f>IF(Q100="","",SUM($Q$2:Q100))</f>
        <v/>
      </c>
      <c r="S100" s="25" t="n"/>
    </row>
    <row r="101">
      <c r="A101" s="24" t="n"/>
      <c r="B101" s="25" t="n"/>
      <c r="C101" s="27" t="n"/>
      <c r="D101" s="26" t="n"/>
      <c r="E101" s="27" t="n"/>
      <c r="F101" s="25" t="n"/>
      <c r="G101" s="27" t="n"/>
      <c r="H101" s="26" t="n"/>
      <c r="I101" s="27" t="n"/>
      <c r="J101" s="27" t="n"/>
      <c r="K101" s="27" t="n"/>
      <c r="L101" s="28" t="n"/>
      <c r="M101" s="27" t="n"/>
      <c r="N101" s="27" t="n"/>
      <c r="O101" s="27">
        <f>IF(AND(M101="",N101=""),"",IF(OR(M101="No Hit",N101="No Hit"),"Loss",IF(AND(M101="Hit",N101="Hit"),"Win","Pending")))</f>
        <v/>
      </c>
      <c r="P101" s="28">
        <f>IF(OR(K101="",L101=""),"",IF(K101&gt;0,L101*(K101/100),L101*(100/(-K101))))</f>
        <v/>
      </c>
      <c r="Q101" s="29">
        <f>IF(O101="Win",P101,IF(O101="Loss",-L101,""))</f>
        <v/>
      </c>
      <c r="R101" s="29">
        <f>IF(Q101="","",SUM($Q$2:Q101))</f>
        <v/>
      </c>
      <c r="S101" s="25" t="n"/>
    </row>
    <row r="102">
      <c r="A102" s="24" t="n"/>
      <c r="B102" s="25" t="n"/>
      <c r="C102" s="27" t="n"/>
      <c r="D102" s="26" t="n"/>
      <c r="E102" s="27" t="n"/>
      <c r="F102" s="25" t="n"/>
      <c r="G102" s="27" t="n"/>
      <c r="H102" s="26" t="n"/>
      <c r="I102" s="27" t="n"/>
      <c r="J102" s="27" t="n"/>
      <c r="K102" s="27" t="n"/>
      <c r="L102" s="28" t="n"/>
      <c r="M102" s="27" t="n"/>
      <c r="N102" s="27" t="n"/>
      <c r="O102" s="27">
        <f>IF(AND(M102="",N102=""),"",IF(OR(M102="No Hit",N102="No Hit"),"Loss",IF(AND(M102="Hit",N102="Hit"),"Win","Pending")))</f>
        <v/>
      </c>
      <c r="P102" s="28">
        <f>IF(OR(K102="",L102=""),"",IF(K102&gt;0,L102*(K102/100),L102*(100/(-K102))))</f>
        <v/>
      </c>
      <c r="Q102" s="29">
        <f>IF(O102="Win",P102,IF(O102="Loss",-L102,""))</f>
        <v/>
      </c>
      <c r="R102" s="29">
        <f>IF(Q102="","",SUM($Q$2:Q102))</f>
        <v/>
      </c>
      <c r="S102" s="25" t="n"/>
    </row>
    <row r="103">
      <c r="A103" s="24" t="n"/>
      <c r="B103" s="25" t="n"/>
      <c r="C103" s="27" t="n"/>
      <c r="D103" s="26" t="n"/>
      <c r="E103" s="27" t="n"/>
      <c r="F103" s="25" t="n"/>
      <c r="G103" s="27" t="n"/>
      <c r="H103" s="26" t="n"/>
      <c r="I103" s="27" t="n"/>
      <c r="J103" s="27" t="n"/>
      <c r="K103" s="27" t="n"/>
      <c r="L103" s="28" t="n"/>
      <c r="M103" s="27" t="n"/>
      <c r="N103" s="27" t="n"/>
      <c r="O103" s="27">
        <f>IF(AND(M103="",N103=""),"",IF(OR(M103="No Hit",N103="No Hit"),"Loss",IF(AND(M103="Hit",N103="Hit"),"Win","Pending")))</f>
        <v/>
      </c>
      <c r="P103" s="28">
        <f>IF(OR(K103="",L103=""),"",IF(K103&gt;0,L103*(K103/100),L103*(100/(-K103))))</f>
        <v/>
      </c>
      <c r="Q103" s="29">
        <f>IF(O103="Win",P103,IF(O103="Loss",-L103,""))</f>
        <v/>
      </c>
      <c r="R103" s="29">
        <f>IF(Q103="","",SUM($Q$2:Q103))</f>
        <v/>
      </c>
      <c r="S103" s="25" t="n"/>
    </row>
    <row r="104">
      <c r="A104" s="24" t="n"/>
      <c r="B104" s="25" t="n"/>
      <c r="C104" s="27" t="n"/>
      <c r="D104" s="26" t="n"/>
      <c r="E104" s="27" t="n"/>
      <c r="F104" s="25" t="n"/>
      <c r="G104" s="27" t="n"/>
      <c r="H104" s="26" t="n"/>
      <c r="I104" s="27" t="n"/>
      <c r="J104" s="27" t="n"/>
      <c r="K104" s="27" t="n"/>
      <c r="L104" s="28" t="n"/>
      <c r="M104" s="27" t="n"/>
      <c r="N104" s="27" t="n"/>
      <c r="O104" s="27">
        <f>IF(AND(M104="",N104=""),"",IF(OR(M104="No Hit",N104="No Hit"),"Loss",IF(AND(M104="Hit",N104="Hit"),"Win","Pending")))</f>
        <v/>
      </c>
      <c r="P104" s="28">
        <f>IF(OR(K104="",L104=""),"",IF(K104&gt;0,L104*(K104/100),L104*(100/(-K104))))</f>
        <v/>
      </c>
      <c r="Q104" s="29">
        <f>IF(O104="Win",P104,IF(O104="Loss",-L104,""))</f>
        <v/>
      </c>
      <c r="R104" s="29">
        <f>IF(Q104="","",SUM($Q$2:Q104))</f>
        <v/>
      </c>
      <c r="S104" s="25" t="n"/>
    </row>
    <row r="105">
      <c r="A105" s="24" t="n"/>
      <c r="B105" s="25" t="n"/>
      <c r="C105" s="27" t="n"/>
      <c r="D105" s="26" t="n"/>
      <c r="E105" s="27" t="n"/>
      <c r="F105" s="25" t="n"/>
      <c r="G105" s="27" t="n"/>
      <c r="H105" s="26" t="n"/>
      <c r="I105" s="27" t="n"/>
      <c r="J105" s="27" t="n"/>
      <c r="K105" s="27" t="n"/>
      <c r="L105" s="28" t="n"/>
      <c r="M105" s="27" t="n"/>
      <c r="N105" s="27" t="n"/>
      <c r="O105" s="27">
        <f>IF(AND(M105="",N105=""),"",IF(OR(M105="No Hit",N105="No Hit"),"Loss",IF(AND(M105="Hit",N105="Hit"),"Win","Pending")))</f>
        <v/>
      </c>
      <c r="P105" s="28">
        <f>IF(OR(K105="",L105=""),"",IF(K105&gt;0,L105*(K105/100),L105*(100/(-K105))))</f>
        <v/>
      </c>
      <c r="Q105" s="29">
        <f>IF(O105="Win",P105,IF(O105="Loss",-L105,""))</f>
        <v/>
      </c>
      <c r="R105" s="29">
        <f>IF(Q105="","",SUM($Q$2:Q105))</f>
        <v/>
      </c>
      <c r="S105" s="25" t="n"/>
    </row>
    <row r="106">
      <c r="A106" s="24" t="n"/>
      <c r="B106" s="25" t="n"/>
      <c r="C106" s="27" t="n"/>
      <c r="D106" s="26" t="n"/>
      <c r="E106" s="27" t="n"/>
      <c r="F106" s="25" t="n"/>
      <c r="G106" s="27" t="n"/>
      <c r="H106" s="26" t="n"/>
      <c r="I106" s="27" t="n"/>
      <c r="J106" s="27" t="n"/>
      <c r="K106" s="27" t="n"/>
      <c r="L106" s="28" t="n"/>
      <c r="M106" s="27" t="n"/>
      <c r="N106" s="27" t="n"/>
      <c r="O106" s="27">
        <f>IF(AND(M106="",N106=""),"",IF(OR(M106="No Hit",N106="No Hit"),"Loss",IF(AND(M106="Hit",N106="Hit"),"Win","Pending")))</f>
        <v/>
      </c>
      <c r="P106" s="28">
        <f>IF(OR(K106="",L106=""),"",IF(K106&gt;0,L106*(K106/100),L106*(100/(-K106))))</f>
        <v/>
      </c>
      <c r="Q106" s="29">
        <f>IF(O106="Win",P106,IF(O106="Loss",-L106,""))</f>
        <v/>
      </c>
      <c r="R106" s="29">
        <f>IF(Q106="","",SUM($Q$2:Q106))</f>
        <v/>
      </c>
      <c r="S106" s="25" t="n"/>
    </row>
    <row r="107">
      <c r="A107" s="24" t="n"/>
      <c r="B107" s="25" t="n"/>
      <c r="C107" s="27" t="n"/>
      <c r="D107" s="26" t="n"/>
      <c r="E107" s="27" t="n"/>
      <c r="F107" s="25" t="n"/>
      <c r="G107" s="27" t="n"/>
      <c r="H107" s="26" t="n"/>
      <c r="I107" s="27" t="n"/>
      <c r="J107" s="27" t="n"/>
      <c r="K107" s="27" t="n"/>
      <c r="L107" s="28" t="n"/>
      <c r="M107" s="27" t="n"/>
      <c r="N107" s="27" t="n"/>
      <c r="O107" s="27">
        <f>IF(AND(M107="",N107=""),"",IF(OR(M107="No Hit",N107="No Hit"),"Loss",IF(AND(M107="Hit",N107="Hit"),"Win","Pending")))</f>
        <v/>
      </c>
      <c r="P107" s="28">
        <f>IF(OR(K107="",L107=""),"",IF(K107&gt;0,L107*(K107/100),L107*(100/(-K107))))</f>
        <v/>
      </c>
      <c r="Q107" s="29">
        <f>IF(O107="Win",P107,IF(O107="Loss",-L107,""))</f>
        <v/>
      </c>
      <c r="R107" s="29">
        <f>IF(Q107="","",SUM($Q$2:Q107))</f>
        <v/>
      </c>
      <c r="S107" s="25" t="n"/>
    </row>
    <row r="108">
      <c r="A108" s="24" t="n"/>
      <c r="B108" s="25" t="n"/>
      <c r="C108" s="27" t="n"/>
      <c r="D108" s="26" t="n"/>
      <c r="E108" s="27" t="n"/>
      <c r="F108" s="25" t="n"/>
      <c r="G108" s="27" t="n"/>
      <c r="H108" s="26" t="n"/>
      <c r="I108" s="27" t="n"/>
      <c r="J108" s="27" t="n"/>
      <c r="K108" s="27" t="n"/>
      <c r="L108" s="28" t="n"/>
      <c r="M108" s="27" t="n"/>
      <c r="N108" s="27" t="n"/>
      <c r="O108" s="27">
        <f>IF(AND(M108="",N108=""),"",IF(OR(M108="No Hit",N108="No Hit"),"Loss",IF(AND(M108="Hit",N108="Hit"),"Win","Pending")))</f>
        <v/>
      </c>
      <c r="P108" s="28">
        <f>IF(OR(K108="",L108=""),"",IF(K108&gt;0,L108*(K108/100),L108*(100/(-K108))))</f>
        <v/>
      </c>
      <c r="Q108" s="29">
        <f>IF(O108="Win",P108,IF(O108="Loss",-L108,""))</f>
        <v/>
      </c>
      <c r="R108" s="29">
        <f>IF(Q108="","",SUM($Q$2:Q108))</f>
        <v/>
      </c>
      <c r="S108" s="25" t="n"/>
    </row>
    <row r="109">
      <c r="A109" s="24" t="n"/>
      <c r="B109" s="25" t="n"/>
      <c r="C109" s="27" t="n"/>
      <c r="D109" s="26" t="n"/>
      <c r="E109" s="27" t="n"/>
      <c r="F109" s="25" t="n"/>
      <c r="G109" s="27" t="n"/>
      <c r="H109" s="26" t="n"/>
      <c r="I109" s="27" t="n"/>
      <c r="J109" s="27" t="n"/>
      <c r="K109" s="27" t="n"/>
      <c r="L109" s="28" t="n"/>
      <c r="M109" s="27" t="n"/>
      <c r="N109" s="27" t="n"/>
      <c r="O109" s="27">
        <f>IF(AND(M109="",N109=""),"",IF(OR(M109="No Hit",N109="No Hit"),"Loss",IF(AND(M109="Hit",N109="Hit"),"Win","Pending")))</f>
        <v/>
      </c>
      <c r="P109" s="28">
        <f>IF(OR(K109="",L109=""),"",IF(K109&gt;0,L109*(K109/100),L109*(100/(-K109))))</f>
        <v/>
      </c>
      <c r="Q109" s="29">
        <f>IF(O109="Win",P109,IF(O109="Loss",-L109,""))</f>
        <v/>
      </c>
      <c r="R109" s="29">
        <f>IF(Q109="","",SUM($Q$2:Q109))</f>
        <v/>
      </c>
      <c r="S109" s="25" t="n"/>
    </row>
    <row r="110">
      <c r="A110" s="24" t="n"/>
      <c r="B110" s="25" t="n"/>
      <c r="C110" s="27" t="n"/>
      <c r="D110" s="26" t="n"/>
      <c r="E110" s="27" t="n"/>
      <c r="F110" s="25" t="n"/>
      <c r="G110" s="27" t="n"/>
      <c r="H110" s="26" t="n"/>
      <c r="I110" s="27" t="n"/>
      <c r="J110" s="27" t="n"/>
      <c r="K110" s="27" t="n"/>
      <c r="L110" s="28" t="n"/>
      <c r="M110" s="27" t="n"/>
      <c r="N110" s="27" t="n"/>
      <c r="O110" s="27">
        <f>IF(AND(M110="",N110=""),"",IF(OR(M110="No Hit",N110="No Hit"),"Loss",IF(AND(M110="Hit",N110="Hit"),"Win","Pending")))</f>
        <v/>
      </c>
      <c r="P110" s="28">
        <f>IF(OR(K110="",L110=""),"",IF(K110&gt;0,L110*(K110/100),L110*(100/(-K110))))</f>
        <v/>
      </c>
      <c r="Q110" s="29">
        <f>IF(O110="Win",P110,IF(O110="Loss",-L110,""))</f>
        <v/>
      </c>
      <c r="R110" s="29">
        <f>IF(Q110="","",SUM($Q$2:Q110))</f>
        <v/>
      </c>
      <c r="S110" s="25" t="n"/>
    </row>
    <row r="111">
      <c r="A111" s="24" t="n"/>
      <c r="B111" s="25" t="n"/>
      <c r="C111" s="27" t="n"/>
      <c r="D111" s="26" t="n"/>
      <c r="E111" s="27" t="n"/>
      <c r="F111" s="25" t="n"/>
      <c r="G111" s="27" t="n"/>
      <c r="H111" s="26" t="n"/>
      <c r="I111" s="27" t="n"/>
      <c r="J111" s="27" t="n"/>
      <c r="K111" s="27" t="n"/>
      <c r="L111" s="28" t="n"/>
      <c r="M111" s="27" t="n"/>
      <c r="N111" s="27" t="n"/>
      <c r="O111" s="27">
        <f>IF(AND(M111="",N111=""),"",IF(OR(M111="No Hit",N111="No Hit"),"Loss",IF(AND(M111="Hit",N111="Hit"),"Win","Pending")))</f>
        <v/>
      </c>
      <c r="P111" s="28">
        <f>IF(OR(K111="",L111=""),"",IF(K111&gt;0,L111*(K111/100),L111*(100/(-K111))))</f>
        <v/>
      </c>
      <c r="Q111" s="29">
        <f>IF(O111="Win",P111,IF(O111="Loss",-L111,""))</f>
        <v/>
      </c>
      <c r="R111" s="29">
        <f>IF(Q111="","",SUM($Q$2:Q111))</f>
        <v/>
      </c>
      <c r="S111" s="25" t="n"/>
    </row>
    <row r="112">
      <c r="A112" s="24" t="n"/>
      <c r="B112" s="25" t="n"/>
      <c r="C112" s="27" t="n"/>
      <c r="D112" s="26" t="n"/>
      <c r="E112" s="27" t="n"/>
      <c r="F112" s="25" t="n"/>
      <c r="G112" s="27" t="n"/>
      <c r="H112" s="26" t="n"/>
      <c r="I112" s="27" t="n"/>
      <c r="J112" s="27" t="n"/>
      <c r="K112" s="27" t="n"/>
      <c r="L112" s="28" t="n"/>
      <c r="M112" s="27" t="n"/>
      <c r="N112" s="27" t="n"/>
      <c r="O112" s="27">
        <f>IF(AND(M112="",N112=""),"",IF(OR(M112="No Hit",N112="No Hit"),"Loss",IF(AND(M112="Hit",N112="Hit"),"Win","Pending")))</f>
        <v/>
      </c>
      <c r="P112" s="28">
        <f>IF(OR(K112="",L112=""),"",IF(K112&gt;0,L112*(K112/100),L112*(100/(-K112))))</f>
        <v/>
      </c>
      <c r="Q112" s="29">
        <f>IF(O112="Win",P112,IF(O112="Loss",-L112,""))</f>
        <v/>
      </c>
      <c r="R112" s="29">
        <f>IF(Q112="","",SUM($Q$2:Q112))</f>
        <v/>
      </c>
      <c r="S112" s="25" t="n"/>
    </row>
    <row r="113">
      <c r="A113" s="24" t="n"/>
      <c r="B113" s="25" t="n"/>
      <c r="C113" s="27" t="n"/>
      <c r="D113" s="26" t="n"/>
      <c r="E113" s="27" t="n"/>
      <c r="F113" s="25" t="n"/>
      <c r="G113" s="27" t="n"/>
      <c r="H113" s="26" t="n"/>
      <c r="I113" s="27" t="n"/>
      <c r="J113" s="27" t="n"/>
      <c r="K113" s="27" t="n"/>
      <c r="L113" s="28" t="n"/>
      <c r="M113" s="27" t="n"/>
      <c r="N113" s="27" t="n"/>
      <c r="O113" s="27">
        <f>IF(AND(M113="",N113=""),"",IF(OR(M113="No Hit",N113="No Hit"),"Loss",IF(AND(M113="Hit",N113="Hit"),"Win","Pending")))</f>
        <v/>
      </c>
      <c r="P113" s="28">
        <f>IF(OR(K113="",L113=""),"",IF(K113&gt;0,L113*(K113/100),L113*(100/(-K113))))</f>
        <v/>
      </c>
      <c r="Q113" s="29">
        <f>IF(O113="Win",P113,IF(O113="Loss",-L113,""))</f>
        <v/>
      </c>
      <c r="R113" s="29">
        <f>IF(Q113="","",SUM($Q$2:Q113))</f>
        <v/>
      </c>
      <c r="S113" s="25" t="n"/>
    </row>
    <row r="114">
      <c r="A114" s="24" t="n"/>
      <c r="B114" s="25" t="n"/>
      <c r="C114" s="27" t="n"/>
      <c r="D114" s="26" t="n"/>
      <c r="E114" s="27" t="n"/>
      <c r="F114" s="25" t="n"/>
      <c r="G114" s="27" t="n"/>
      <c r="H114" s="26" t="n"/>
      <c r="I114" s="27" t="n"/>
      <c r="J114" s="27" t="n"/>
      <c r="K114" s="27" t="n"/>
      <c r="L114" s="28" t="n"/>
      <c r="M114" s="27" t="n"/>
      <c r="N114" s="27" t="n"/>
      <c r="O114" s="27">
        <f>IF(AND(M114="",N114=""),"",IF(OR(M114="No Hit",N114="No Hit"),"Loss",IF(AND(M114="Hit",N114="Hit"),"Win","Pending")))</f>
        <v/>
      </c>
      <c r="P114" s="28">
        <f>IF(OR(K114="",L114=""),"",IF(K114&gt;0,L114*(K114/100),L114*(100/(-K114))))</f>
        <v/>
      </c>
      <c r="Q114" s="29">
        <f>IF(O114="Win",P114,IF(O114="Loss",-L114,""))</f>
        <v/>
      </c>
      <c r="R114" s="29">
        <f>IF(Q114="","",SUM($Q$2:Q114))</f>
        <v/>
      </c>
      <c r="S114" s="25" t="n"/>
    </row>
    <row r="115">
      <c r="A115" s="24" t="n"/>
      <c r="B115" s="25" t="n"/>
      <c r="C115" s="27" t="n"/>
      <c r="D115" s="26" t="n"/>
      <c r="E115" s="27" t="n"/>
      <c r="F115" s="25" t="n"/>
      <c r="G115" s="27" t="n"/>
      <c r="H115" s="26" t="n"/>
      <c r="I115" s="27" t="n"/>
      <c r="J115" s="27" t="n"/>
      <c r="K115" s="27" t="n"/>
      <c r="L115" s="28" t="n"/>
      <c r="M115" s="27" t="n"/>
      <c r="N115" s="27" t="n"/>
      <c r="O115" s="27">
        <f>IF(AND(M115="",N115=""),"",IF(OR(M115="No Hit",N115="No Hit"),"Loss",IF(AND(M115="Hit",N115="Hit"),"Win","Pending")))</f>
        <v/>
      </c>
      <c r="P115" s="28">
        <f>IF(OR(K115="",L115=""),"",IF(K115&gt;0,L115*(K115/100),L115*(100/(-K115))))</f>
        <v/>
      </c>
      <c r="Q115" s="29">
        <f>IF(O115="Win",P115,IF(O115="Loss",-L115,""))</f>
        <v/>
      </c>
      <c r="R115" s="29">
        <f>IF(Q115="","",SUM($Q$2:Q115))</f>
        <v/>
      </c>
      <c r="S115" s="25" t="n"/>
    </row>
    <row r="116">
      <c r="A116" s="24" t="n"/>
      <c r="B116" s="25" t="n"/>
      <c r="C116" s="27" t="n"/>
      <c r="D116" s="26" t="n"/>
      <c r="E116" s="27" t="n"/>
      <c r="F116" s="25" t="n"/>
      <c r="G116" s="27" t="n"/>
      <c r="H116" s="26" t="n"/>
      <c r="I116" s="27" t="n"/>
      <c r="J116" s="27" t="n"/>
      <c r="K116" s="27" t="n"/>
      <c r="L116" s="28" t="n"/>
      <c r="M116" s="27" t="n"/>
      <c r="N116" s="27" t="n"/>
      <c r="O116" s="27">
        <f>IF(AND(M116="",N116=""),"",IF(OR(M116="No Hit",N116="No Hit"),"Loss",IF(AND(M116="Hit",N116="Hit"),"Win","Pending")))</f>
        <v/>
      </c>
      <c r="P116" s="28">
        <f>IF(OR(K116="",L116=""),"",IF(K116&gt;0,L116*(K116/100),L116*(100/(-K116))))</f>
        <v/>
      </c>
      <c r="Q116" s="29">
        <f>IF(O116="Win",P116,IF(O116="Loss",-L116,""))</f>
        <v/>
      </c>
      <c r="R116" s="29">
        <f>IF(Q116="","",SUM($Q$2:Q116))</f>
        <v/>
      </c>
      <c r="S116" s="25" t="n"/>
    </row>
    <row r="117">
      <c r="A117" s="24" t="n"/>
      <c r="B117" s="25" t="n"/>
      <c r="C117" s="27" t="n"/>
      <c r="D117" s="26" t="n"/>
      <c r="E117" s="27" t="n"/>
      <c r="F117" s="25" t="n"/>
      <c r="G117" s="27" t="n"/>
      <c r="H117" s="26" t="n"/>
      <c r="I117" s="27" t="n"/>
      <c r="J117" s="27" t="n"/>
      <c r="K117" s="27" t="n"/>
      <c r="L117" s="28" t="n"/>
      <c r="M117" s="27" t="n"/>
      <c r="N117" s="27" t="n"/>
      <c r="O117" s="27">
        <f>IF(AND(M117="",N117=""),"",IF(OR(M117="No Hit",N117="No Hit"),"Loss",IF(AND(M117="Hit",N117="Hit"),"Win","Pending")))</f>
        <v/>
      </c>
      <c r="P117" s="28">
        <f>IF(OR(K117="",L117=""),"",IF(K117&gt;0,L117*(K117/100),L117*(100/(-K117))))</f>
        <v/>
      </c>
      <c r="Q117" s="29">
        <f>IF(O117="Win",P117,IF(O117="Loss",-L117,""))</f>
        <v/>
      </c>
      <c r="R117" s="29">
        <f>IF(Q117="","",SUM($Q$2:Q117))</f>
        <v/>
      </c>
      <c r="S117" s="25" t="n"/>
    </row>
    <row r="118">
      <c r="A118" s="24" t="n"/>
      <c r="B118" s="25" t="n"/>
      <c r="C118" s="27" t="n"/>
      <c r="D118" s="26" t="n"/>
      <c r="E118" s="27" t="n"/>
      <c r="F118" s="25" t="n"/>
      <c r="G118" s="27" t="n"/>
      <c r="H118" s="26" t="n"/>
      <c r="I118" s="27" t="n"/>
      <c r="J118" s="27" t="n"/>
      <c r="K118" s="27" t="n"/>
      <c r="L118" s="28" t="n"/>
      <c r="M118" s="27" t="n"/>
      <c r="N118" s="27" t="n"/>
      <c r="O118" s="27">
        <f>IF(AND(M118="",N118=""),"",IF(OR(M118="No Hit",N118="No Hit"),"Loss",IF(AND(M118="Hit",N118="Hit"),"Win","Pending")))</f>
        <v/>
      </c>
      <c r="P118" s="28">
        <f>IF(OR(K118="",L118=""),"",IF(K118&gt;0,L118*(K118/100),L118*(100/(-K118))))</f>
        <v/>
      </c>
      <c r="Q118" s="29">
        <f>IF(O118="Win",P118,IF(O118="Loss",-L118,""))</f>
        <v/>
      </c>
      <c r="R118" s="29">
        <f>IF(Q118="","",SUM($Q$2:Q118))</f>
        <v/>
      </c>
      <c r="S118" s="25" t="n"/>
    </row>
    <row r="119">
      <c r="A119" s="24" t="n"/>
      <c r="B119" s="25" t="n"/>
      <c r="C119" s="27" t="n"/>
      <c r="D119" s="26" t="n"/>
      <c r="E119" s="27" t="n"/>
      <c r="F119" s="25" t="n"/>
      <c r="G119" s="27" t="n"/>
      <c r="H119" s="26" t="n"/>
      <c r="I119" s="27" t="n"/>
      <c r="J119" s="27" t="n"/>
      <c r="K119" s="27" t="n"/>
      <c r="L119" s="28" t="n"/>
      <c r="M119" s="27" t="n"/>
      <c r="N119" s="27" t="n"/>
      <c r="O119" s="27">
        <f>IF(AND(M119="",N119=""),"",IF(OR(M119="No Hit",N119="No Hit"),"Loss",IF(AND(M119="Hit",N119="Hit"),"Win","Pending")))</f>
        <v/>
      </c>
      <c r="P119" s="28">
        <f>IF(OR(K119="",L119=""),"",IF(K119&gt;0,L119*(K119/100),L119*(100/(-K119))))</f>
        <v/>
      </c>
      <c r="Q119" s="29">
        <f>IF(O119="Win",P119,IF(O119="Loss",-L119,""))</f>
        <v/>
      </c>
      <c r="R119" s="29">
        <f>IF(Q119="","",SUM($Q$2:Q119))</f>
        <v/>
      </c>
      <c r="S119" s="25" t="n"/>
    </row>
    <row r="120">
      <c r="A120" s="24" t="n"/>
      <c r="B120" s="25" t="n"/>
      <c r="C120" s="27" t="n"/>
      <c r="D120" s="26" t="n"/>
      <c r="E120" s="27" t="n"/>
      <c r="F120" s="25" t="n"/>
      <c r="G120" s="27" t="n"/>
      <c r="H120" s="26" t="n"/>
      <c r="I120" s="27" t="n"/>
      <c r="J120" s="27" t="n"/>
      <c r="K120" s="27" t="n"/>
      <c r="L120" s="28" t="n"/>
      <c r="M120" s="27" t="n"/>
      <c r="N120" s="27" t="n"/>
      <c r="O120" s="27">
        <f>IF(AND(M120="",N120=""),"",IF(OR(M120="No Hit",N120="No Hit"),"Loss",IF(AND(M120="Hit",N120="Hit"),"Win","Pending")))</f>
        <v/>
      </c>
      <c r="P120" s="28">
        <f>IF(OR(K120="",L120=""),"",IF(K120&gt;0,L120*(K120/100),L120*(100/(-K120))))</f>
        <v/>
      </c>
      <c r="Q120" s="29">
        <f>IF(O120="Win",P120,IF(O120="Loss",-L120,""))</f>
        <v/>
      </c>
      <c r="R120" s="29">
        <f>IF(Q120="","",SUM($Q$2:Q120))</f>
        <v/>
      </c>
      <c r="S120" s="25" t="n"/>
    </row>
    <row r="121">
      <c r="A121" s="24" t="n"/>
      <c r="B121" s="25" t="n"/>
      <c r="C121" s="27" t="n"/>
      <c r="D121" s="26" t="n"/>
      <c r="E121" s="27" t="n"/>
      <c r="F121" s="25" t="n"/>
      <c r="G121" s="27" t="n"/>
      <c r="H121" s="26" t="n"/>
      <c r="I121" s="27" t="n"/>
      <c r="J121" s="27" t="n"/>
      <c r="K121" s="27" t="n"/>
      <c r="L121" s="28" t="n"/>
      <c r="M121" s="27" t="n"/>
      <c r="N121" s="27" t="n"/>
      <c r="O121" s="27">
        <f>IF(AND(M121="",N121=""),"",IF(OR(M121="No Hit",N121="No Hit"),"Loss",IF(AND(M121="Hit",N121="Hit"),"Win","Pending")))</f>
        <v/>
      </c>
      <c r="P121" s="28">
        <f>IF(OR(K121="",L121=""),"",IF(K121&gt;0,L121*(K121/100),L121*(100/(-K121))))</f>
        <v/>
      </c>
      <c r="Q121" s="29">
        <f>IF(O121="Win",P121,IF(O121="Loss",-L121,""))</f>
        <v/>
      </c>
      <c r="R121" s="29">
        <f>IF(Q121="","",SUM($Q$2:Q121))</f>
        <v/>
      </c>
      <c r="S121" s="25" t="n"/>
    </row>
    <row r="122">
      <c r="A122" s="24" t="n"/>
      <c r="B122" s="25" t="n"/>
      <c r="C122" s="27" t="n"/>
      <c r="D122" s="26" t="n"/>
      <c r="E122" s="27" t="n"/>
      <c r="F122" s="25" t="n"/>
      <c r="G122" s="27" t="n"/>
      <c r="H122" s="26" t="n"/>
      <c r="I122" s="27" t="n"/>
      <c r="J122" s="27" t="n"/>
      <c r="K122" s="27" t="n"/>
      <c r="L122" s="28" t="n"/>
      <c r="M122" s="27" t="n"/>
      <c r="N122" s="27" t="n"/>
      <c r="O122" s="27">
        <f>IF(AND(M122="",N122=""),"",IF(OR(M122="No Hit",N122="No Hit"),"Loss",IF(AND(M122="Hit",N122="Hit"),"Win","Pending")))</f>
        <v/>
      </c>
      <c r="P122" s="28">
        <f>IF(OR(K122="",L122=""),"",IF(K122&gt;0,L122*(K122/100),L122*(100/(-K122))))</f>
        <v/>
      </c>
      <c r="Q122" s="29">
        <f>IF(O122="Win",P122,IF(O122="Loss",-L122,""))</f>
        <v/>
      </c>
      <c r="R122" s="29">
        <f>IF(Q122="","",SUM($Q$2:Q122))</f>
        <v/>
      </c>
      <c r="S122" s="25" t="n"/>
    </row>
    <row r="123">
      <c r="A123" s="24" t="n"/>
      <c r="B123" s="25" t="n"/>
      <c r="C123" s="27" t="n"/>
      <c r="D123" s="26" t="n"/>
      <c r="E123" s="27" t="n"/>
      <c r="F123" s="25" t="n"/>
      <c r="G123" s="27" t="n"/>
      <c r="H123" s="26" t="n"/>
      <c r="I123" s="27" t="n"/>
      <c r="J123" s="27" t="n"/>
      <c r="K123" s="27" t="n"/>
      <c r="L123" s="28" t="n"/>
      <c r="M123" s="27" t="n"/>
      <c r="N123" s="27" t="n"/>
      <c r="O123" s="27">
        <f>IF(AND(M123="",N123=""),"",IF(OR(M123="No Hit",N123="No Hit"),"Loss",IF(AND(M123="Hit",N123="Hit"),"Win","Pending")))</f>
        <v/>
      </c>
      <c r="P123" s="28">
        <f>IF(OR(K123="",L123=""),"",IF(K123&gt;0,L123*(K123/100),L123*(100/(-K123))))</f>
        <v/>
      </c>
      <c r="Q123" s="29">
        <f>IF(O123="Win",P123,IF(O123="Loss",-L123,""))</f>
        <v/>
      </c>
      <c r="R123" s="29">
        <f>IF(Q123="","",SUM($Q$2:Q123))</f>
        <v/>
      </c>
      <c r="S123" s="25" t="n"/>
    </row>
    <row r="124">
      <c r="A124" s="24" t="n"/>
      <c r="B124" s="25" t="n"/>
      <c r="C124" s="27" t="n"/>
      <c r="D124" s="26" t="n"/>
      <c r="E124" s="27" t="n"/>
      <c r="F124" s="25" t="n"/>
      <c r="G124" s="27" t="n"/>
      <c r="H124" s="26" t="n"/>
      <c r="I124" s="27" t="n"/>
      <c r="J124" s="27" t="n"/>
      <c r="K124" s="27" t="n"/>
      <c r="L124" s="28" t="n"/>
      <c r="M124" s="27" t="n"/>
      <c r="N124" s="27" t="n"/>
      <c r="O124" s="27">
        <f>IF(AND(M124="",N124=""),"",IF(OR(M124="No Hit",N124="No Hit"),"Loss",IF(AND(M124="Hit",N124="Hit"),"Win","Pending")))</f>
        <v/>
      </c>
      <c r="P124" s="28">
        <f>IF(OR(K124="",L124=""),"",IF(K124&gt;0,L124*(K124/100),L124*(100/(-K124))))</f>
        <v/>
      </c>
      <c r="Q124" s="29">
        <f>IF(O124="Win",P124,IF(O124="Loss",-L124,""))</f>
        <v/>
      </c>
      <c r="R124" s="29">
        <f>IF(Q124="","",SUM($Q$2:Q124))</f>
        <v/>
      </c>
      <c r="S124" s="25" t="n"/>
    </row>
    <row r="125">
      <c r="A125" s="24" t="n"/>
      <c r="B125" s="25" t="n"/>
      <c r="C125" s="27" t="n"/>
      <c r="D125" s="26" t="n"/>
      <c r="E125" s="27" t="n"/>
      <c r="F125" s="25" t="n"/>
      <c r="G125" s="27" t="n"/>
      <c r="H125" s="26" t="n"/>
      <c r="I125" s="27" t="n"/>
      <c r="J125" s="27" t="n"/>
      <c r="K125" s="27" t="n"/>
      <c r="L125" s="28" t="n"/>
      <c r="M125" s="27" t="n"/>
      <c r="N125" s="27" t="n"/>
      <c r="O125" s="27">
        <f>IF(AND(M125="",N125=""),"",IF(OR(M125="No Hit",N125="No Hit"),"Loss",IF(AND(M125="Hit",N125="Hit"),"Win","Pending")))</f>
        <v/>
      </c>
      <c r="P125" s="28">
        <f>IF(OR(K125="",L125=""),"",IF(K125&gt;0,L125*(K125/100),L125*(100/(-K125))))</f>
        <v/>
      </c>
      <c r="Q125" s="29">
        <f>IF(O125="Win",P125,IF(O125="Loss",-L125,""))</f>
        <v/>
      </c>
      <c r="R125" s="29">
        <f>IF(Q125="","",SUM($Q$2:Q125))</f>
        <v/>
      </c>
      <c r="S125" s="25" t="n"/>
    </row>
    <row r="126">
      <c r="A126" s="24" t="n"/>
      <c r="B126" s="25" t="n"/>
      <c r="C126" s="27" t="n"/>
      <c r="D126" s="26" t="n"/>
      <c r="E126" s="27" t="n"/>
      <c r="F126" s="25" t="n"/>
      <c r="G126" s="27" t="n"/>
      <c r="H126" s="26" t="n"/>
      <c r="I126" s="27" t="n"/>
      <c r="J126" s="27" t="n"/>
      <c r="K126" s="27" t="n"/>
      <c r="L126" s="28" t="n"/>
      <c r="M126" s="27" t="n"/>
      <c r="N126" s="27" t="n"/>
      <c r="O126" s="27">
        <f>IF(AND(M126="",N126=""),"",IF(OR(M126="No Hit",N126="No Hit"),"Loss",IF(AND(M126="Hit",N126="Hit"),"Win","Pending")))</f>
        <v/>
      </c>
      <c r="P126" s="28">
        <f>IF(OR(K126="",L126=""),"",IF(K126&gt;0,L126*(K126/100),L126*(100/(-K126))))</f>
        <v/>
      </c>
      <c r="Q126" s="29">
        <f>IF(O126="Win",P126,IF(O126="Loss",-L126,""))</f>
        <v/>
      </c>
      <c r="R126" s="29">
        <f>IF(Q126="","",SUM($Q$2:Q126))</f>
        <v/>
      </c>
      <c r="S126" s="25" t="n"/>
    </row>
    <row r="127">
      <c r="A127" s="24" t="n"/>
      <c r="B127" s="25" t="n"/>
      <c r="C127" s="27" t="n"/>
      <c r="D127" s="26" t="n"/>
      <c r="E127" s="27" t="n"/>
      <c r="F127" s="25" t="n"/>
      <c r="G127" s="27" t="n"/>
      <c r="H127" s="26" t="n"/>
      <c r="I127" s="27" t="n"/>
      <c r="J127" s="27" t="n"/>
      <c r="K127" s="27" t="n"/>
      <c r="L127" s="28" t="n"/>
      <c r="M127" s="27" t="n"/>
      <c r="N127" s="27" t="n"/>
      <c r="O127" s="27">
        <f>IF(AND(M127="",N127=""),"",IF(OR(M127="No Hit",N127="No Hit"),"Loss",IF(AND(M127="Hit",N127="Hit"),"Win","Pending")))</f>
        <v/>
      </c>
      <c r="P127" s="28">
        <f>IF(OR(K127="",L127=""),"",IF(K127&gt;0,L127*(K127/100),L127*(100/(-K127))))</f>
        <v/>
      </c>
      <c r="Q127" s="29">
        <f>IF(O127="Win",P127,IF(O127="Loss",-L127,""))</f>
        <v/>
      </c>
      <c r="R127" s="29">
        <f>IF(Q127="","",SUM($Q$2:Q127))</f>
        <v/>
      </c>
      <c r="S127" s="25" t="n"/>
    </row>
    <row r="128">
      <c r="A128" s="24" t="n"/>
      <c r="B128" s="25" t="n"/>
      <c r="C128" s="27" t="n"/>
      <c r="D128" s="26" t="n"/>
      <c r="E128" s="27" t="n"/>
      <c r="F128" s="25" t="n"/>
      <c r="G128" s="27" t="n"/>
      <c r="H128" s="26" t="n"/>
      <c r="I128" s="27" t="n"/>
      <c r="J128" s="27" t="n"/>
      <c r="K128" s="27" t="n"/>
      <c r="L128" s="28" t="n"/>
      <c r="M128" s="27" t="n"/>
      <c r="N128" s="27" t="n"/>
      <c r="O128" s="27">
        <f>IF(AND(M128="",N128=""),"",IF(OR(M128="No Hit",N128="No Hit"),"Loss",IF(AND(M128="Hit",N128="Hit"),"Win","Pending")))</f>
        <v/>
      </c>
      <c r="P128" s="28">
        <f>IF(OR(K128="",L128=""),"",IF(K128&gt;0,L128*(K128/100),L128*(100/(-K128))))</f>
        <v/>
      </c>
      <c r="Q128" s="29">
        <f>IF(O128="Win",P128,IF(O128="Loss",-L128,""))</f>
        <v/>
      </c>
      <c r="R128" s="29">
        <f>IF(Q128="","",SUM($Q$2:Q128))</f>
        <v/>
      </c>
      <c r="S128" s="25" t="n"/>
    </row>
    <row r="129">
      <c r="A129" s="24" t="n"/>
      <c r="B129" s="25" t="n"/>
      <c r="C129" s="27" t="n"/>
      <c r="D129" s="26" t="n"/>
      <c r="E129" s="27" t="n"/>
      <c r="F129" s="25" t="n"/>
      <c r="G129" s="27" t="n"/>
      <c r="H129" s="26" t="n"/>
      <c r="I129" s="27" t="n"/>
      <c r="J129" s="27" t="n"/>
      <c r="K129" s="27" t="n"/>
      <c r="L129" s="28" t="n"/>
      <c r="M129" s="27" t="n"/>
      <c r="N129" s="27" t="n"/>
      <c r="O129" s="27">
        <f>IF(AND(M129="",N129=""),"",IF(OR(M129="No Hit",N129="No Hit"),"Loss",IF(AND(M129="Hit",N129="Hit"),"Win","Pending")))</f>
        <v/>
      </c>
      <c r="P129" s="28">
        <f>IF(OR(K129="",L129=""),"",IF(K129&gt;0,L129*(K129/100),L129*(100/(-K129))))</f>
        <v/>
      </c>
      <c r="Q129" s="29">
        <f>IF(O129="Win",P129,IF(O129="Loss",-L129,""))</f>
        <v/>
      </c>
      <c r="R129" s="29">
        <f>IF(Q129="","",SUM($Q$2:Q129))</f>
        <v/>
      </c>
      <c r="S129" s="25" t="n"/>
    </row>
    <row r="130">
      <c r="A130" s="24" t="n"/>
      <c r="B130" s="25" t="n"/>
      <c r="C130" s="27" t="n"/>
      <c r="D130" s="26" t="n"/>
      <c r="E130" s="27" t="n"/>
      <c r="F130" s="25" t="n"/>
      <c r="G130" s="27" t="n"/>
      <c r="H130" s="26" t="n"/>
      <c r="I130" s="27" t="n"/>
      <c r="J130" s="27" t="n"/>
      <c r="K130" s="27" t="n"/>
      <c r="L130" s="28" t="n"/>
      <c r="M130" s="27" t="n"/>
      <c r="N130" s="27" t="n"/>
      <c r="O130" s="27">
        <f>IF(AND(M130="",N130=""),"",IF(OR(M130="No Hit",N130="No Hit"),"Loss",IF(AND(M130="Hit",N130="Hit"),"Win","Pending")))</f>
        <v/>
      </c>
      <c r="P130" s="28">
        <f>IF(OR(K130="",L130=""),"",IF(K130&gt;0,L130*(K130/100),L130*(100/(-K130))))</f>
        <v/>
      </c>
      <c r="Q130" s="29">
        <f>IF(O130="Win",P130,IF(O130="Loss",-L130,""))</f>
        <v/>
      </c>
      <c r="R130" s="29">
        <f>IF(Q130="","",SUM($Q$2:Q130))</f>
        <v/>
      </c>
      <c r="S130" s="25" t="n"/>
    </row>
    <row r="131">
      <c r="A131" s="24" t="n"/>
      <c r="B131" s="25" t="n"/>
      <c r="C131" s="27" t="n"/>
      <c r="D131" s="26" t="n"/>
      <c r="E131" s="27" t="n"/>
      <c r="F131" s="25" t="n"/>
      <c r="G131" s="27" t="n"/>
      <c r="H131" s="26" t="n"/>
      <c r="I131" s="27" t="n"/>
      <c r="J131" s="27" t="n"/>
      <c r="K131" s="27" t="n"/>
      <c r="L131" s="28" t="n"/>
      <c r="M131" s="27" t="n"/>
      <c r="N131" s="27" t="n"/>
      <c r="O131" s="27">
        <f>IF(AND(M131="",N131=""),"",IF(OR(M131="No Hit",N131="No Hit"),"Loss",IF(AND(M131="Hit",N131="Hit"),"Win","Pending")))</f>
        <v/>
      </c>
      <c r="P131" s="28">
        <f>IF(OR(K131="",L131=""),"",IF(K131&gt;0,L131*(K131/100),L131*(100/(-K131))))</f>
        <v/>
      </c>
      <c r="Q131" s="29">
        <f>IF(O131="Win",P131,IF(O131="Loss",-L131,""))</f>
        <v/>
      </c>
      <c r="R131" s="29">
        <f>IF(Q131="","",SUM($Q$2:Q131))</f>
        <v/>
      </c>
      <c r="S131" s="25" t="n"/>
    </row>
    <row r="132">
      <c r="A132" s="24" t="n"/>
      <c r="B132" s="25" t="n"/>
      <c r="C132" s="27" t="n"/>
      <c r="D132" s="26" t="n"/>
      <c r="E132" s="27" t="n"/>
      <c r="F132" s="25" t="n"/>
      <c r="G132" s="27" t="n"/>
      <c r="H132" s="26" t="n"/>
      <c r="I132" s="27" t="n"/>
      <c r="J132" s="27" t="n"/>
      <c r="K132" s="27" t="n"/>
      <c r="L132" s="28" t="n"/>
      <c r="M132" s="27" t="n"/>
      <c r="N132" s="27" t="n"/>
      <c r="O132" s="27">
        <f>IF(AND(M132="",N132=""),"",IF(OR(M132="No Hit",N132="No Hit"),"Loss",IF(AND(M132="Hit",N132="Hit"),"Win","Pending")))</f>
        <v/>
      </c>
      <c r="P132" s="28">
        <f>IF(OR(K132="",L132=""),"",IF(K132&gt;0,L132*(K132/100),L132*(100/(-K132))))</f>
        <v/>
      </c>
      <c r="Q132" s="29">
        <f>IF(O132="Win",P132,IF(O132="Loss",-L132,""))</f>
        <v/>
      </c>
      <c r="R132" s="29">
        <f>IF(Q132="","",SUM($Q$2:Q132))</f>
        <v/>
      </c>
      <c r="S132" s="25" t="n"/>
    </row>
    <row r="133">
      <c r="A133" s="24" t="n"/>
      <c r="B133" s="25" t="n"/>
      <c r="C133" s="27" t="n"/>
      <c r="D133" s="26" t="n"/>
      <c r="E133" s="27" t="n"/>
      <c r="F133" s="25" t="n"/>
      <c r="G133" s="27" t="n"/>
      <c r="H133" s="26" t="n"/>
      <c r="I133" s="27" t="n"/>
      <c r="J133" s="27" t="n"/>
      <c r="K133" s="27" t="n"/>
      <c r="L133" s="28" t="n"/>
      <c r="M133" s="27" t="n"/>
      <c r="N133" s="27" t="n"/>
      <c r="O133" s="27">
        <f>IF(AND(M133="",N133=""),"",IF(OR(M133="No Hit",N133="No Hit"),"Loss",IF(AND(M133="Hit",N133="Hit"),"Win","Pending")))</f>
        <v/>
      </c>
      <c r="P133" s="28">
        <f>IF(OR(K133="",L133=""),"",IF(K133&gt;0,L133*(K133/100),L133*(100/(-K133))))</f>
        <v/>
      </c>
      <c r="Q133" s="29">
        <f>IF(O133="Win",P133,IF(O133="Loss",-L133,""))</f>
        <v/>
      </c>
      <c r="R133" s="29">
        <f>IF(Q133="","",SUM($Q$2:Q133))</f>
        <v/>
      </c>
      <c r="S133" s="25" t="n"/>
    </row>
    <row r="134">
      <c r="A134" s="24" t="n"/>
      <c r="B134" s="25" t="n"/>
      <c r="C134" s="27" t="n"/>
      <c r="D134" s="26" t="n"/>
      <c r="E134" s="27" t="n"/>
      <c r="F134" s="25" t="n"/>
      <c r="G134" s="27" t="n"/>
      <c r="H134" s="26" t="n"/>
      <c r="I134" s="27" t="n"/>
      <c r="J134" s="27" t="n"/>
      <c r="K134" s="27" t="n"/>
      <c r="L134" s="28" t="n"/>
      <c r="M134" s="27" t="n"/>
      <c r="N134" s="27" t="n"/>
      <c r="O134" s="27">
        <f>IF(AND(M134="",N134=""),"",IF(OR(M134="No Hit",N134="No Hit"),"Loss",IF(AND(M134="Hit",N134="Hit"),"Win","Pending")))</f>
        <v/>
      </c>
      <c r="P134" s="28">
        <f>IF(OR(K134="",L134=""),"",IF(K134&gt;0,L134*(K134/100),L134*(100/(-K134))))</f>
        <v/>
      </c>
      <c r="Q134" s="29">
        <f>IF(O134="Win",P134,IF(O134="Loss",-L134,""))</f>
        <v/>
      </c>
      <c r="R134" s="29">
        <f>IF(Q134="","",SUM($Q$2:Q134))</f>
        <v/>
      </c>
      <c r="S134" s="25" t="n"/>
    </row>
    <row r="135">
      <c r="A135" s="24" t="n"/>
      <c r="B135" s="25" t="n"/>
      <c r="C135" s="27" t="n"/>
      <c r="D135" s="26" t="n"/>
      <c r="E135" s="27" t="n"/>
      <c r="F135" s="25" t="n"/>
      <c r="G135" s="27" t="n"/>
      <c r="H135" s="26" t="n"/>
      <c r="I135" s="27" t="n"/>
      <c r="J135" s="27" t="n"/>
      <c r="K135" s="27" t="n"/>
      <c r="L135" s="28" t="n"/>
      <c r="M135" s="27" t="n"/>
      <c r="N135" s="27" t="n"/>
      <c r="O135" s="27">
        <f>IF(AND(M135="",N135=""),"",IF(OR(M135="No Hit",N135="No Hit"),"Loss",IF(AND(M135="Hit",N135="Hit"),"Win","Pending")))</f>
        <v/>
      </c>
      <c r="P135" s="28">
        <f>IF(OR(K135="",L135=""),"",IF(K135&gt;0,L135*(K135/100),L135*(100/(-K135))))</f>
        <v/>
      </c>
      <c r="Q135" s="29">
        <f>IF(O135="Win",P135,IF(O135="Loss",-L135,""))</f>
        <v/>
      </c>
      <c r="R135" s="29">
        <f>IF(Q135="","",SUM($Q$2:Q135))</f>
        <v/>
      </c>
      <c r="S135" s="25" t="n"/>
    </row>
    <row r="136">
      <c r="A136" s="24" t="n"/>
      <c r="B136" s="25" t="n"/>
      <c r="C136" s="27" t="n"/>
      <c r="D136" s="26" t="n"/>
      <c r="E136" s="27" t="n"/>
      <c r="F136" s="25" t="n"/>
      <c r="G136" s="27" t="n"/>
      <c r="H136" s="26" t="n"/>
      <c r="I136" s="27" t="n"/>
      <c r="J136" s="27" t="n"/>
      <c r="K136" s="27" t="n"/>
      <c r="L136" s="28" t="n"/>
      <c r="M136" s="27" t="n"/>
      <c r="N136" s="27" t="n"/>
      <c r="O136" s="27">
        <f>IF(AND(M136="",N136=""),"",IF(OR(M136="No Hit",N136="No Hit"),"Loss",IF(AND(M136="Hit",N136="Hit"),"Win","Pending")))</f>
        <v/>
      </c>
      <c r="P136" s="28">
        <f>IF(OR(K136="",L136=""),"",IF(K136&gt;0,L136*(K136/100),L136*(100/(-K136))))</f>
        <v/>
      </c>
      <c r="Q136" s="29">
        <f>IF(O136="Win",P136,IF(O136="Loss",-L136,""))</f>
        <v/>
      </c>
      <c r="R136" s="29">
        <f>IF(Q136="","",SUM($Q$2:Q136))</f>
        <v/>
      </c>
      <c r="S136" s="25" t="n"/>
    </row>
    <row r="137">
      <c r="A137" s="24" t="n"/>
      <c r="B137" s="25" t="n"/>
      <c r="C137" s="27" t="n"/>
      <c r="D137" s="26" t="n"/>
      <c r="E137" s="27" t="n"/>
      <c r="F137" s="25" t="n"/>
      <c r="G137" s="27" t="n"/>
      <c r="H137" s="26" t="n"/>
      <c r="I137" s="27" t="n"/>
      <c r="J137" s="27" t="n"/>
      <c r="K137" s="27" t="n"/>
      <c r="L137" s="28" t="n"/>
      <c r="M137" s="27" t="n"/>
      <c r="N137" s="27" t="n"/>
      <c r="O137" s="27">
        <f>IF(AND(M137="",N137=""),"",IF(OR(M137="No Hit",N137="No Hit"),"Loss",IF(AND(M137="Hit",N137="Hit"),"Win","Pending")))</f>
        <v/>
      </c>
      <c r="P137" s="28">
        <f>IF(OR(K137="",L137=""),"",IF(K137&gt;0,L137*(K137/100),L137*(100/(-K137))))</f>
        <v/>
      </c>
      <c r="Q137" s="29">
        <f>IF(O137="Win",P137,IF(O137="Loss",-L137,""))</f>
        <v/>
      </c>
      <c r="R137" s="29">
        <f>IF(Q137="","",SUM($Q$2:Q137))</f>
        <v/>
      </c>
      <c r="S137" s="25" t="n"/>
    </row>
    <row r="138">
      <c r="A138" s="24" t="n"/>
      <c r="B138" s="25" t="n"/>
      <c r="C138" s="27" t="n"/>
      <c r="D138" s="26" t="n"/>
      <c r="E138" s="27" t="n"/>
      <c r="F138" s="25" t="n"/>
      <c r="G138" s="27" t="n"/>
      <c r="H138" s="26" t="n"/>
      <c r="I138" s="27" t="n"/>
      <c r="J138" s="27" t="n"/>
      <c r="K138" s="27" t="n"/>
      <c r="L138" s="28" t="n"/>
      <c r="M138" s="27" t="n"/>
      <c r="N138" s="27" t="n"/>
      <c r="O138" s="27">
        <f>IF(AND(M138="",N138=""),"",IF(OR(M138="No Hit",N138="No Hit"),"Loss",IF(AND(M138="Hit",N138="Hit"),"Win","Pending")))</f>
        <v/>
      </c>
      <c r="P138" s="28">
        <f>IF(OR(K138="",L138=""),"",IF(K138&gt;0,L138*(K138/100),L138*(100/(-K138))))</f>
        <v/>
      </c>
      <c r="Q138" s="29">
        <f>IF(O138="Win",P138,IF(O138="Loss",-L138,""))</f>
        <v/>
      </c>
      <c r="R138" s="29">
        <f>IF(Q138="","",SUM($Q$2:Q138))</f>
        <v/>
      </c>
      <c r="S138" s="25" t="n"/>
    </row>
    <row r="139">
      <c r="A139" s="24" t="n"/>
      <c r="B139" s="25" t="n"/>
      <c r="C139" s="27" t="n"/>
      <c r="D139" s="26" t="n"/>
      <c r="E139" s="27" t="n"/>
      <c r="F139" s="25" t="n"/>
      <c r="G139" s="27" t="n"/>
      <c r="H139" s="26" t="n"/>
      <c r="I139" s="27" t="n"/>
      <c r="J139" s="27" t="n"/>
      <c r="K139" s="27" t="n"/>
      <c r="L139" s="28" t="n"/>
      <c r="M139" s="27" t="n"/>
      <c r="N139" s="27" t="n"/>
      <c r="O139" s="27">
        <f>IF(AND(M139="",N139=""),"",IF(OR(M139="No Hit",N139="No Hit"),"Loss",IF(AND(M139="Hit",N139="Hit"),"Win","Pending")))</f>
        <v/>
      </c>
      <c r="P139" s="28">
        <f>IF(OR(K139="",L139=""),"",IF(K139&gt;0,L139*(K139/100),L139*(100/(-K139))))</f>
        <v/>
      </c>
      <c r="Q139" s="29">
        <f>IF(O139="Win",P139,IF(O139="Loss",-L139,""))</f>
        <v/>
      </c>
      <c r="R139" s="29">
        <f>IF(Q139="","",SUM($Q$2:Q139))</f>
        <v/>
      </c>
      <c r="S139" s="25" t="n"/>
    </row>
    <row r="140">
      <c r="A140" s="24" t="n"/>
      <c r="B140" s="25" t="n"/>
      <c r="C140" s="27" t="n"/>
      <c r="D140" s="26" t="n"/>
      <c r="E140" s="27" t="n"/>
      <c r="F140" s="25" t="n"/>
      <c r="G140" s="27" t="n"/>
      <c r="H140" s="26" t="n"/>
      <c r="I140" s="27" t="n"/>
      <c r="J140" s="27" t="n"/>
      <c r="K140" s="27" t="n"/>
      <c r="L140" s="28" t="n"/>
      <c r="M140" s="27" t="n"/>
      <c r="N140" s="27" t="n"/>
      <c r="O140" s="27">
        <f>IF(AND(M140="",N140=""),"",IF(OR(M140="No Hit",N140="No Hit"),"Loss",IF(AND(M140="Hit",N140="Hit"),"Win","Pending")))</f>
        <v/>
      </c>
      <c r="P140" s="28">
        <f>IF(OR(K140="",L140=""),"",IF(K140&gt;0,L140*(K140/100),L140*(100/(-K140))))</f>
        <v/>
      </c>
      <c r="Q140" s="29">
        <f>IF(O140="Win",P140,IF(O140="Loss",-L140,""))</f>
        <v/>
      </c>
      <c r="R140" s="29">
        <f>IF(Q140="","",SUM($Q$2:Q140))</f>
        <v/>
      </c>
      <c r="S140" s="25" t="n"/>
    </row>
    <row r="141">
      <c r="A141" s="24" t="n"/>
      <c r="B141" s="25" t="n"/>
      <c r="C141" s="27" t="n"/>
      <c r="D141" s="26" t="n"/>
      <c r="E141" s="27" t="n"/>
      <c r="F141" s="25" t="n"/>
      <c r="G141" s="27" t="n"/>
      <c r="H141" s="26" t="n"/>
      <c r="I141" s="27" t="n"/>
      <c r="J141" s="27" t="n"/>
      <c r="K141" s="27" t="n"/>
      <c r="L141" s="28" t="n"/>
      <c r="M141" s="27" t="n"/>
      <c r="N141" s="27" t="n"/>
      <c r="O141" s="27">
        <f>IF(AND(M141="",N141=""),"",IF(OR(M141="No Hit",N141="No Hit"),"Loss",IF(AND(M141="Hit",N141="Hit"),"Win","Pending")))</f>
        <v/>
      </c>
      <c r="P141" s="28">
        <f>IF(OR(K141="",L141=""),"",IF(K141&gt;0,L141*(K141/100),L141*(100/(-K141))))</f>
        <v/>
      </c>
      <c r="Q141" s="29">
        <f>IF(O141="Win",P141,IF(O141="Loss",-L141,""))</f>
        <v/>
      </c>
      <c r="R141" s="29">
        <f>IF(Q141="","",SUM($Q$2:Q141))</f>
        <v/>
      </c>
      <c r="S141" s="25" t="n"/>
    </row>
    <row r="142">
      <c r="A142" s="24" t="n"/>
      <c r="B142" s="25" t="n"/>
      <c r="C142" s="27" t="n"/>
      <c r="D142" s="26" t="n"/>
      <c r="E142" s="27" t="n"/>
      <c r="F142" s="25" t="n"/>
      <c r="G142" s="27" t="n"/>
      <c r="H142" s="26" t="n"/>
      <c r="I142" s="27" t="n"/>
      <c r="J142" s="27" t="n"/>
      <c r="K142" s="27" t="n"/>
      <c r="L142" s="28" t="n"/>
      <c r="M142" s="27" t="n"/>
      <c r="N142" s="27" t="n"/>
      <c r="O142" s="27">
        <f>IF(AND(M142="",N142=""),"",IF(OR(M142="No Hit",N142="No Hit"),"Loss",IF(AND(M142="Hit",N142="Hit"),"Win","Pending")))</f>
        <v/>
      </c>
      <c r="P142" s="28">
        <f>IF(OR(K142="",L142=""),"",IF(K142&gt;0,L142*(K142/100),L142*(100/(-K142))))</f>
        <v/>
      </c>
      <c r="Q142" s="29">
        <f>IF(O142="Win",P142,IF(O142="Loss",-L142,""))</f>
        <v/>
      </c>
      <c r="R142" s="29">
        <f>IF(Q142="","",SUM($Q$2:Q142))</f>
        <v/>
      </c>
      <c r="S142" s="25" t="n"/>
    </row>
    <row r="143">
      <c r="A143" s="24" t="n"/>
      <c r="B143" s="25" t="n"/>
      <c r="C143" s="27" t="n"/>
      <c r="D143" s="26" t="n"/>
      <c r="E143" s="27" t="n"/>
      <c r="F143" s="25" t="n"/>
      <c r="G143" s="27" t="n"/>
      <c r="H143" s="26" t="n"/>
      <c r="I143" s="27" t="n"/>
      <c r="J143" s="27" t="n"/>
      <c r="K143" s="27" t="n"/>
      <c r="L143" s="28" t="n"/>
      <c r="M143" s="27" t="n"/>
      <c r="N143" s="27" t="n"/>
      <c r="O143" s="27">
        <f>IF(AND(M143="",N143=""),"",IF(OR(M143="No Hit",N143="No Hit"),"Loss",IF(AND(M143="Hit",N143="Hit"),"Win","Pending")))</f>
        <v/>
      </c>
      <c r="P143" s="28">
        <f>IF(OR(K143="",L143=""),"",IF(K143&gt;0,L143*(K143/100),L143*(100/(-K143))))</f>
        <v/>
      </c>
      <c r="Q143" s="29">
        <f>IF(O143="Win",P143,IF(O143="Loss",-L143,""))</f>
        <v/>
      </c>
      <c r="R143" s="29">
        <f>IF(Q143="","",SUM($Q$2:Q143))</f>
        <v/>
      </c>
      <c r="S143" s="25" t="n"/>
    </row>
    <row r="144">
      <c r="A144" s="24" t="n"/>
      <c r="B144" s="25" t="n"/>
      <c r="C144" s="27" t="n"/>
      <c r="D144" s="26" t="n"/>
      <c r="E144" s="27" t="n"/>
      <c r="F144" s="25" t="n"/>
      <c r="G144" s="27" t="n"/>
      <c r="H144" s="26" t="n"/>
      <c r="I144" s="27" t="n"/>
      <c r="J144" s="27" t="n"/>
      <c r="K144" s="27" t="n"/>
      <c r="L144" s="28" t="n"/>
      <c r="M144" s="27" t="n"/>
      <c r="N144" s="27" t="n"/>
      <c r="O144" s="27">
        <f>IF(AND(M144="",N144=""),"",IF(OR(M144="No Hit",N144="No Hit"),"Loss",IF(AND(M144="Hit",N144="Hit"),"Win","Pending")))</f>
        <v/>
      </c>
      <c r="P144" s="28">
        <f>IF(OR(K144="",L144=""),"",IF(K144&gt;0,L144*(K144/100),L144*(100/(-K144))))</f>
        <v/>
      </c>
      <c r="Q144" s="29">
        <f>IF(O144="Win",P144,IF(O144="Loss",-L144,""))</f>
        <v/>
      </c>
      <c r="R144" s="29">
        <f>IF(Q144="","",SUM($Q$2:Q144))</f>
        <v/>
      </c>
      <c r="S144" s="25" t="n"/>
    </row>
    <row r="145">
      <c r="A145" s="24" t="n"/>
      <c r="B145" s="25" t="n"/>
      <c r="C145" s="27" t="n"/>
      <c r="D145" s="26" t="n"/>
      <c r="E145" s="27" t="n"/>
      <c r="F145" s="25" t="n"/>
      <c r="G145" s="27" t="n"/>
      <c r="H145" s="26" t="n"/>
      <c r="I145" s="27" t="n"/>
      <c r="J145" s="27" t="n"/>
      <c r="K145" s="27" t="n"/>
      <c r="L145" s="28" t="n"/>
      <c r="M145" s="27" t="n"/>
      <c r="N145" s="27" t="n"/>
      <c r="O145" s="27">
        <f>IF(AND(M145="",N145=""),"",IF(OR(M145="No Hit",N145="No Hit"),"Loss",IF(AND(M145="Hit",N145="Hit"),"Win","Pending")))</f>
        <v/>
      </c>
      <c r="P145" s="28">
        <f>IF(OR(K145="",L145=""),"",IF(K145&gt;0,L145*(K145/100),L145*(100/(-K145))))</f>
        <v/>
      </c>
      <c r="Q145" s="29">
        <f>IF(O145="Win",P145,IF(O145="Loss",-L145,""))</f>
        <v/>
      </c>
      <c r="R145" s="29">
        <f>IF(Q145="","",SUM($Q$2:Q145))</f>
        <v/>
      </c>
      <c r="S145" s="25" t="n"/>
    </row>
    <row r="146">
      <c r="A146" s="24" t="n"/>
      <c r="B146" s="25" t="n"/>
      <c r="C146" s="27" t="n"/>
      <c r="D146" s="26" t="n"/>
      <c r="E146" s="27" t="n"/>
      <c r="F146" s="25" t="n"/>
      <c r="G146" s="27" t="n"/>
      <c r="H146" s="26" t="n"/>
      <c r="I146" s="27" t="n"/>
      <c r="J146" s="27" t="n"/>
      <c r="K146" s="27" t="n"/>
      <c r="L146" s="28" t="n"/>
      <c r="M146" s="27" t="n"/>
      <c r="N146" s="27" t="n"/>
      <c r="O146" s="27">
        <f>IF(AND(M146="",N146=""),"",IF(OR(M146="No Hit",N146="No Hit"),"Loss",IF(AND(M146="Hit",N146="Hit"),"Win","Pending")))</f>
        <v/>
      </c>
      <c r="P146" s="28">
        <f>IF(OR(K146="",L146=""),"",IF(K146&gt;0,L146*(K146/100),L146*(100/(-K146))))</f>
        <v/>
      </c>
      <c r="Q146" s="29">
        <f>IF(O146="Win",P146,IF(O146="Loss",-L146,""))</f>
        <v/>
      </c>
      <c r="R146" s="29">
        <f>IF(Q146="","",SUM($Q$2:Q146))</f>
        <v/>
      </c>
      <c r="S146" s="25" t="n"/>
    </row>
    <row r="147">
      <c r="A147" s="24" t="n"/>
      <c r="B147" s="25" t="n"/>
      <c r="C147" s="27" t="n"/>
      <c r="D147" s="26" t="n"/>
      <c r="E147" s="27" t="n"/>
      <c r="F147" s="25" t="n"/>
      <c r="G147" s="27" t="n"/>
      <c r="H147" s="26" t="n"/>
      <c r="I147" s="27" t="n"/>
      <c r="J147" s="27" t="n"/>
      <c r="K147" s="27" t="n"/>
      <c r="L147" s="28" t="n"/>
      <c r="M147" s="27" t="n"/>
      <c r="N147" s="27" t="n"/>
      <c r="O147" s="27">
        <f>IF(AND(M147="",N147=""),"",IF(OR(M147="No Hit",N147="No Hit"),"Loss",IF(AND(M147="Hit",N147="Hit"),"Win","Pending")))</f>
        <v/>
      </c>
      <c r="P147" s="28">
        <f>IF(OR(K147="",L147=""),"",IF(K147&gt;0,L147*(K147/100),L147*(100/(-K147))))</f>
        <v/>
      </c>
      <c r="Q147" s="29">
        <f>IF(O147="Win",P147,IF(O147="Loss",-L147,""))</f>
        <v/>
      </c>
      <c r="R147" s="29">
        <f>IF(Q147="","",SUM($Q$2:Q147))</f>
        <v/>
      </c>
      <c r="S147" s="25" t="n"/>
    </row>
    <row r="148">
      <c r="A148" s="24" t="n"/>
      <c r="B148" s="25" t="n"/>
      <c r="C148" s="27" t="n"/>
      <c r="D148" s="26" t="n"/>
      <c r="E148" s="27" t="n"/>
      <c r="F148" s="25" t="n"/>
      <c r="G148" s="27" t="n"/>
      <c r="H148" s="26" t="n"/>
      <c r="I148" s="27" t="n"/>
      <c r="J148" s="27" t="n"/>
      <c r="K148" s="27" t="n"/>
      <c r="L148" s="28" t="n"/>
      <c r="M148" s="27" t="n"/>
      <c r="N148" s="27" t="n"/>
      <c r="O148" s="27">
        <f>IF(AND(M148="",N148=""),"",IF(OR(M148="No Hit",N148="No Hit"),"Loss",IF(AND(M148="Hit",N148="Hit"),"Win","Pending")))</f>
        <v/>
      </c>
      <c r="P148" s="28">
        <f>IF(OR(K148="",L148=""),"",IF(K148&gt;0,L148*(K148/100),L148*(100/(-K148))))</f>
        <v/>
      </c>
      <c r="Q148" s="29">
        <f>IF(O148="Win",P148,IF(O148="Loss",-L148,""))</f>
        <v/>
      </c>
      <c r="R148" s="29">
        <f>IF(Q148="","",SUM($Q$2:Q148))</f>
        <v/>
      </c>
      <c r="S148" s="25" t="n"/>
    </row>
    <row r="149">
      <c r="A149" s="24" t="n"/>
      <c r="B149" s="25" t="n"/>
      <c r="C149" s="27" t="n"/>
      <c r="D149" s="26" t="n"/>
      <c r="E149" s="27" t="n"/>
      <c r="F149" s="25" t="n"/>
      <c r="G149" s="27" t="n"/>
      <c r="H149" s="26" t="n"/>
      <c r="I149" s="27" t="n"/>
      <c r="J149" s="27" t="n"/>
      <c r="K149" s="27" t="n"/>
      <c r="L149" s="28" t="n"/>
      <c r="M149" s="27" t="n"/>
      <c r="N149" s="27" t="n"/>
      <c r="O149" s="27">
        <f>IF(AND(M149="",N149=""),"",IF(OR(M149="No Hit",N149="No Hit"),"Loss",IF(AND(M149="Hit",N149="Hit"),"Win","Pending")))</f>
        <v/>
      </c>
      <c r="P149" s="28">
        <f>IF(OR(K149="",L149=""),"",IF(K149&gt;0,L149*(K149/100),L149*(100/(-K149))))</f>
        <v/>
      </c>
      <c r="Q149" s="29">
        <f>IF(O149="Win",P149,IF(O149="Loss",-L149,""))</f>
        <v/>
      </c>
      <c r="R149" s="29">
        <f>IF(Q149="","",SUM($Q$2:Q149))</f>
        <v/>
      </c>
      <c r="S149" s="25" t="n"/>
    </row>
    <row r="150">
      <c r="A150" s="24" t="n"/>
      <c r="B150" s="25" t="n"/>
      <c r="C150" s="27" t="n"/>
      <c r="D150" s="26" t="n"/>
      <c r="E150" s="27" t="n"/>
      <c r="F150" s="25" t="n"/>
      <c r="G150" s="27" t="n"/>
      <c r="H150" s="26" t="n"/>
      <c r="I150" s="27" t="n"/>
      <c r="J150" s="27" t="n"/>
      <c r="K150" s="27" t="n"/>
      <c r="L150" s="28" t="n"/>
      <c r="M150" s="27" t="n"/>
      <c r="N150" s="27" t="n"/>
      <c r="O150" s="27">
        <f>IF(AND(M150="",N150=""),"",IF(OR(M150="No Hit",N150="No Hit"),"Loss",IF(AND(M150="Hit",N150="Hit"),"Win","Pending")))</f>
        <v/>
      </c>
      <c r="P150" s="28">
        <f>IF(OR(K150="",L150=""),"",IF(K150&gt;0,L150*(K150/100),L150*(100/(-K150))))</f>
        <v/>
      </c>
      <c r="Q150" s="29">
        <f>IF(O150="Win",P150,IF(O150="Loss",-L150,""))</f>
        <v/>
      </c>
      <c r="R150" s="29">
        <f>IF(Q150="","",SUM($Q$2:Q150))</f>
        <v/>
      </c>
      <c r="S150" s="25" t="n"/>
    </row>
    <row r="151">
      <c r="A151" s="24" t="n"/>
      <c r="B151" s="25" t="n"/>
      <c r="C151" s="27" t="n"/>
      <c r="D151" s="26" t="n"/>
      <c r="E151" s="27" t="n"/>
      <c r="F151" s="25" t="n"/>
      <c r="G151" s="27" t="n"/>
      <c r="H151" s="26" t="n"/>
      <c r="I151" s="27" t="n"/>
      <c r="J151" s="27" t="n"/>
      <c r="K151" s="27" t="n"/>
      <c r="L151" s="28" t="n"/>
      <c r="M151" s="27" t="n"/>
      <c r="N151" s="27" t="n"/>
      <c r="O151" s="27">
        <f>IF(AND(M151="",N151=""),"",IF(OR(M151="No Hit",N151="No Hit"),"Loss",IF(AND(M151="Hit",N151="Hit"),"Win","Pending")))</f>
        <v/>
      </c>
      <c r="P151" s="28">
        <f>IF(OR(K151="",L151=""),"",IF(K151&gt;0,L151*(K151/100),L151*(100/(-K151))))</f>
        <v/>
      </c>
      <c r="Q151" s="29">
        <f>IF(O151="Win",P151,IF(O151="Loss",-L151,""))</f>
        <v/>
      </c>
      <c r="R151" s="29">
        <f>IF(Q151="","",SUM($Q$2:Q151))</f>
        <v/>
      </c>
      <c r="S151" s="25" t="n"/>
    </row>
    <row r="152">
      <c r="A152" s="24" t="n"/>
      <c r="B152" s="25" t="n"/>
      <c r="C152" s="27" t="n"/>
      <c r="D152" s="26" t="n"/>
      <c r="E152" s="27" t="n"/>
      <c r="F152" s="25" t="n"/>
      <c r="G152" s="27" t="n"/>
      <c r="H152" s="26" t="n"/>
      <c r="I152" s="27" t="n"/>
      <c r="J152" s="27" t="n"/>
      <c r="K152" s="27" t="n"/>
      <c r="L152" s="28" t="n"/>
      <c r="M152" s="27" t="n"/>
      <c r="N152" s="27" t="n"/>
      <c r="O152" s="27">
        <f>IF(AND(M152="",N152=""),"",IF(OR(M152="No Hit",N152="No Hit"),"Loss",IF(AND(M152="Hit",N152="Hit"),"Win","Pending")))</f>
        <v/>
      </c>
      <c r="P152" s="28">
        <f>IF(OR(K152="",L152=""),"",IF(K152&gt;0,L152*(K152/100),L152*(100/(-K152))))</f>
        <v/>
      </c>
      <c r="Q152" s="29">
        <f>IF(O152="Win",P152,IF(O152="Loss",-L152,""))</f>
        <v/>
      </c>
      <c r="R152" s="29">
        <f>IF(Q152="","",SUM($Q$2:Q152))</f>
        <v/>
      </c>
      <c r="S152" s="25" t="n"/>
    </row>
    <row r="153">
      <c r="A153" s="24" t="n"/>
      <c r="B153" s="25" t="n"/>
      <c r="C153" s="27" t="n"/>
      <c r="D153" s="26" t="n"/>
      <c r="E153" s="27" t="n"/>
      <c r="F153" s="25" t="n"/>
      <c r="G153" s="27" t="n"/>
      <c r="H153" s="26" t="n"/>
      <c r="I153" s="27" t="n"/>
      <c r="J153" s="27" t="n"/>
      <c r="K153" s="27" t="n"/>
      <c r="L153" s="28" t="n"/>
      <c r="M153" s="27" t="n"/>
      <c r="N153" s="27" t="n"/>
      <c r="O153" s="27">
        <f>IF(AND(M153="",N153=""),"",IF(OR(M153="No Hit",N153="No Hit"),"Loss",IF(AND(M153="Hit",N153="Hit"),"Win","Pending")))</f>
        <v/>
      </c>
      <c r="P153" s="28">
        <f>IF(OR(K153="",L153=""),"",IF(K153&gt;0,L153*(K153/100),L153*(100/(-K153))))</f>
        <v/>
      </c>
      <c r="Q153" s="29">
        <f>IF(O153="Win",P153,IF(O153="Loss",-L153,""))</f>
        <v/>
      </c>
      <c r="R153" s="29">
        <f>IF(Q153="","",SUM($Q$2:Q153))</f>
        <v/>
      </c>
      <c r="S153" s="25" t="n"/>
    </row>
    <row r="154">
      <c r="A154" s="24" t="n"/>
      <c r="B154" s="25" t="n"/>
      <c r="C154" s="27" t="n"/>
      <c r="D154" s="26" t="n"/>
      <c r="E154" s="27" t="n"/>
      <c r="F154" s="25" t="n"/>
      <c r="G154" s="27" t="n"/>
      <c r="H154" s="26" t="n"/>
      <c r="I154" s="27" t="n"/>
      <c r="J154" s="27" t="n"/>
      <c r="K154" s="27" t="n"/>
      <c r="L154" s="28" t="n"/>
      <c r="M154" s="27" t="n"/>
      <c r="N154" s="27" t="n"/>
      <c r="O154" s="27">
        <f>IF(AND(M154="",N154=""),"",IF(OR(M154="No Hit",N154="No Hit"),"Loss",IF(AND(M154="Hit",N154="Hit"),"Win","Pending")))</f>
        <v/>
      </c>
      <c r="P154" s="28">
        <f>IF(OR(K154="",L154=""),"",IF(K154&gt;0,L154*(K154/100),L154*(100/(-K154))))</f>
        <v/>
      </c>
      <c r="Q154" s="29">
        <f>IF(O154="Win",P154,IF(O154="Loss",-L154,""))</f>
        <v/>
      </c>
      <c r="R154" s="29">
        <f>IF(Q154="","",SUM($Q$2:Q154))</f>
        <v/>
      </c>
      <c r="S154" s="25" t="n"/>
    </row>
    <row r="155">
      <c r="A155" s="24" t="n"/>
      <c r="B155" s="25" t="n"/>
      <c r="C155" s="27" t="n"/>
      <c r="D155" s="26" t="n"/>
      <c r="E155" s="27" t="n"/>
      <c r="F155" s="25" t="n"/>
      <c r="G155" s="27" t="n"/>
      <c r="H155" s="26" t="n"/>
      <c r="I155" s="27" t="n"/>
      <c r="J155" s="27" t="n"/>
      <c r="K155" s="27" t="n"/>
      <c r="L155" s="28" t="n"/>
      <c r="M155" s="27" t="n"/>
      <c r="N155" s="27" t="n"/>
      <c r="O155" s="27">
        <f>IF(AND(M155="",N155=""),"",IF(OR(M155="No Hit",N155="No Hit"),"Loss",IF(AND(M155="Hit",N155="Hit"),"Win","Pending")))</f>
        <v/>
      </c>
      <c r="P155" s="28">
        <f>IF(OR(K155="",L155=""),"",IF(K155&gt;0,L155*(K155/100),L155*(100/(-K155))))</f>
        <v/>
      </c>
      <c r="Q155" s="29">
        <f>IF(O155="Win",P155,IF(O155="Loss",-L155,""))</f>
        <v/>
      </c>
      <c r="R155" s="29">
        <f>IF(Q155="","",SUM($Q$2:Q155))</f>
        <v/>
      </c>
      <c r="S155" s="25" t="n"/>
    </row>
    <row r="156">
      <c r="A156" s="24" t="n"/>
      <c r="B156" s="25" t="n"/>
      <c r="C156" s="27" t="n"/>
      <c r="D156" s="26" t="n"/>
      <c r="E156" s="27" t="n"/>
      <c r="F156" s="25" t="n"/>
      <c r="G156" s="27" t="n"/>
      <c r="H156" s="26" t="n"/>
      <c r="I156" s="27" t="n"/>
      <c r="J156" s="27" t="n"/>
      <c r="K156" s="27" t="n"/>
      <c r="L156" s="28" t="n"/>
      <c r="M156" s="27" t="n"/>
      <c r="N156" s="27" t="n"/>
      <c r="O156" s="27">
        <f>IF(AND(M156="",N156=""),"",IF(OR(M156="No Hit",N156="No Hit"),"Loss",IF(AND(M156="Hit",N156="Hit"),"Win","Pending")))</f>
        <v/>
      </c>
      <c r="P156" s="28">
        <f>IF(OR(K156="",L156=""),"",IF(K156&gt;0,L156*(K156/100),L156*(100/(-K156))))</f>
        <v/>
      </c>
      <c r="Q156" s="29">
        <f>IF(O156="Win",P156,IF(O156="Loss",-L156,""))</f>
        <v/>
      </c>
      <c r="R156" s="29">
        <f>IF(Q156="","",SUM($Q$2:Q156))</f>
        <v/>
      </c>
      <c r="S156" s="25" t="n"/>
    </row>
    <row r="157">
      <c r="A157" s="24" t="n"/>
      <c r="B157" s="25" t="n"/>
      <c r="C157" s="27" t="n"/>
      <c r="D157" s="26" t="n"/>
      <c r="E157" s="27" t="n"/>
      <c r="F157" s="25" t="n"/>
      <c r="G157" s="27" t="n"/>
      <c r="H157" s="26" t="n"/>
      <c r="I157" s="27" t="n"/>
      <c r="J157" s="27" t="n"/>
      <c r="K157" s="27" t="n"/>
      <c r="L157" s="28" t="n"/>
      <c r="M157" s="27" t="n"/>
      <c r="N157" s="27" t="n"/>
      <c r="O157" s="27">
        <f>IF(AND(M157="",N157=""),"",IF(OR(M157="No Hit",N157="No Hit"),"Loss",IF(AND(M157="Hit",N157="Hit"),"Win","Pending")))</f>
        <v/>
      </c>
      <c r="P157" s="28">
        <f>IF(OR(K157="",L157=""),"",IF(K157&gt;0,L157*(K157/100),L157*(100/(-K157))))</f>
        <v/>
      </c>
      <c r="Q157" s="29">
        <f>IF(O157="Win",P157,IF(O157="Loss",-L157,""))</f>
        <v/>
      </c>
      <c r="R157" s="29">
        <f>IF(Q157="","",SUM($Q$2:Q157))</f>
        <v/>
      </c>
      <c r="S157" s="25" t="n"/>
    </row>
    <row r="158">
      <c r="A158" s="24" t="n"/>
      <c r="B158" s="25" t="n"/>
      <c r="C158" s="27" t="n"/>
      <c r="D158" s="26" t="n"/>
      <c r="E158" s="27" t="n"/>
      <c r="F158" s="25" t="n"/>
      <c r="G158" s="27" t="n"/>
      <c r="H158" s="26" t="n"/>
      <c r="I158" s="27" t="n"/>
      <c r="J158" s="27" t="n"/>
      <c r="K158" s="27" t="n"/>
      <c r="L158" s="28" t="n"/>
      <c r="M158" s="27" t="n"/>
      <c r="N158" s="27" t="n"/>
      <c r="O158" s="27">
        <f>IF(AND(M158="",N158=""),"",IF(OR(M158="No Hit",N158="No Hit"),"Loss",IF(AND(M158="Hit",N158="Hit"),"Win","Pending")))</f>
        <v/>
      </c>
      <c r="P158" s="28">
        <f>IF(OR(K158="",L158=""),"",IF(K158&gt;0,L158*(K158/100),L158*(100/(-K158))))</f>
        <v/>
      </c>
      <c r="Q158" s="29">
        <f>IF(O158="Win",P158,IF(O158="Loss",-L158,""))</f>
        <v/>
      </c>
      <c r="R158" s="29">
        <f>IF(Q158="","",SUM($Q$2:Q158))</f>
        <v/>
      </c>
      <c r="S158" s="25" t="n"/>
    </row>
    <row r="159">
      <c r="A159" s="24" t="n"/>
      <c r="B159" s="25" t="n"/>
      <c r="C159" s="27" t="n"/>
      <c r="D159" s="26" t="n"/>
      <c r="E159" s="27" t="n"/>
      <c r="F159" s="25" t="n"/>
      <c r="G159" s="27" t="n"/>
      <c r="H159" s="26" t="n"/>
      <c r="I159" s="27" t="n"/>
      <c r="J159" s="27" t="n"/>
      <c r="K159" s="27" t="n"/>
      <c r="L159" s="28" t="n"/>
      <c r="M159" s="27" t="n"/>
      <c r="N159" s="27" t="n"/>
      <c r="O159" s="27">
        <f>IF(AND(M159="",N159=""),"",IF(OR(M159="No Hit",N159="No Hit"),"Loss",IF(AND(M159="Hit",N159="Hit"),"Win","Pending")))</f>
        <v/>
      </c>
      <c r="P159" s="28">
        <f>IF(OR(K159="",L159=""),"",IF(K159&gt;0,L159*(K159/100),L159*(100/(-K159))))</f>
        <v/>
      </c>
      <c r="Q159" s="29">
        <f>IF(O159="Win",P159,IF(O159="Loss",-L159,""))</f>
        <v/>
      </c>
      <c r="R159" s="29">
        <f>IF(Q159="","",SUM($Q$2:Q159))</f>
        <v/>
      </c>
      <c r="S159" s="25" t="n"/>
    </row>
    <row r="160">
      <c r="A160" s="24" t="n"/>
      <c r="B160" s="25" t="n"/>
      <c r="C160" s="27" t="n"/>
      <c r="D160" s="26" t="n"/>
      <c r="E160" s="27" t="n"/>
      <c r="F160" s="25" t="n"/>
      <c r="G160" s="27" t="n"/>
      <c r="H160" s="26" t="n"/>
      <c r="I160" s="27" t="n"/>
      <c r="J160" s="27" t="n"/>
      <c r="K160" s="27" t="n"/>
      <c r="L160" s="28" t="n"/>
      <c r="M160" s="27" t="n"/>
      <c r="N160" s="27" t="n"/>
      <c r="O160" s="27">
        <f>IF(AND(M160="",N160=""),"",IF(OR(M160="No Hit",N160="No Hit"),"Loss",IF(AND(M160="Hit",N160="Hit"),"Win","Pending")))</f>
        <v/>
      </c>
      <c r="P160" s="28">
        <f>IF(OR(K160="",L160=""),"",IF(K160&gt;0,L160*(K160/100),L160*(100/(-K160))))</f>
        <v/>
      </c>
      <c r="Q160" s="29">
        <f>IF(O160="Win",P160,IF(O160="Loss",-L160,""))</f>
        <v/>
      </c>
      <c r="R160" s="29">
        <f>IF(Q160="","",SUM($Q$2:Q160))</f>
        <v/>
      </c>
      <c r="S160" s="25" t="n"/>
    </row>
    <row r="161">
      <c r="A161" s="24" t="n"/>
      <c r="B161" s="25" t="n"/>
      <c r="C161" s="27" t="n"/>
      <c r="D161" s="26" t="n"/>
      <c r="E161" s="27" t="n"/>
      <c r="F161" s="25" t="n"/>
      <c r="G161" s="27" t="n"/>
      <c r="H161" s="26" t="n"/>
      <c r="I161" s="27" t="n"/>
      <c r="J161" s="27" t="n"/>
      <c r="K161" s="27" t="n"/>
      <c r="L161" s="28" t="n"/>
      <c r="M161" s="27" t="n"/>
      <c r="N161" s="27" t="n"/>
      <c r="O161" s="27">
        <f>IF(AND(M161="",N161=""),"",IF(OR(M161="No Hit",N161="No Hit"),"Loss",IF(AND(M161="Hit",N161="Hit"),"Win","Pending")))</f>
        <v/>
      </c>
      <c r="P161" s="28">
        <f>IF(OR(K161="",L161=""),"",IF(K161&gt;0,L161*(K161/100),L161*(100/(-K161))))</f>
        <v/>
      </c>
      <c r="Q161" s="29">
        <f>IF(O161="Win",P161,IF(O161="Loss",-L161,""))</f>
        <v/>
      </c>
      <c r="R161" s="29">
        <f>IF(Q161="","",SUM($Q$2:Q161))</f>
        <v/>
      </c>
      <c r="S161" s="25" t="n"/>
    </row>
    <row r="162">
      <c r="A162" s="24" t="n"/>
      <c r="B162" s="25" t="n"/>
      <c r="C162" s="27" t="n"/>
      <c r="D162" s="26" t="n"/>
      <c r="E162" s="27" t="n"/>
      <c r="F162" s="25" t="n"/>
      <c r="G162" s="27" t="n"/>
      <c r="H162" s="26" t="n"/>
      <c r="I162" s="27" t="n"/>
      <c r="J162" s="27" t="n"/>
      <c r="K162" s="27" t="n"/>
      <c r="L162" s="28" t="n"/>
      <c r="M162" s="27" t="n"/>
      <c r="N162" s="27" t="n"/>
      <c r="O162" s="27">
        <f>IF(AND(M162="",N162=""),"",IF(OR(M162="No Hit",N162="No Hit"),"Loss",IF(AND(M162="Hit",N162="Hit"),"Win","Pending")))</f>
        <v/>
      </c>
      <c r="P162" s="28">
        <f>IF(OR(K162="",L162=""),"",IF(K162&gt;0,L162*(K162/100),L162*(100/(-K162))))</f>
        <v/>
      </c>
      <c r="Q162" s="29">
        <f>IF(O162="Win",P162,IF(O162="Loss",-L162,""))</f>
        <v/>
      </c>
      <c r="R162" s="29">
        <f>IF(Q162="","",SUM($Q$2:Q162))</f>
        <v/>
      </c>
      <c r="S162" s="25" t="n"/>
    </row>
    <row r="163">
      <c r="A163" s="24" t="n"/>
      <c r="B163" s="25" t="n"/>
      <c r="C163" s="27" t="n"/>
      <c r="D163" s="26" t="n"/>
      <c r="E163" s="27" t="n"/>
      <c r="F163" s="25" t="n"/>
      <c r="G163" s="27" t="n"/>
      <c r="H163" s="26" t="n"/>
      <c r="I163" s="27" t="n"/>
      <c r="J163" s="27" t="n"/>
      <c r="K163" s="27" t="n"/>
      <c r="L163" s="28" t="n"/>
      <c r="M163" s="27" t="n"/>
      <c r="N163" s="27" t="n"/>
      <c r="O163" s="27">
        <f>IF(AND(M163="",N163=""),"",IF(OR(M163="No Hit",N163="No Hit"),"Loss",IF(AND(M163="Hit",N163="Hit"),"Win","Pending")))</f>
        <v/>
      </c>
      <c r="P163" s="28">
        <f>IF(OR(K163="",L163=""),"",IF(K163&gt;0,L163*(K163/100),L163*(100/(-K163))))</f>
        <v/>
      </c>
      <c r="Q163" s="29">
        <f>IF(O163="Win",P163,IF(O163="Loss",-L163,""))</f>
        <v/>
      </c>
      <c r="R163" s="29">
        <f>IF(Q163="","",SUM($Q$2:Q163))</f>
        <v/>
      </c>
      <c r="S163" s="25" t="n"/>
    </row>
    <row r="164">
      <c r="A164" s="24" t="n"/>
      <c r="B164" s="25" t="n"/>
      <c r="C164" s="27" t="n"/>
      <c r="D164" s="26" t="n"/>
      <c r="E164" s="27" t="n"/>
      <c r="F164" s="25" t="n"/>
      <c r="G164" s="27" t="n"/>
      <c r="H164" s="26" t="n"/>
      <c r="I164" s="27" t="n"/>
      <c r="J164" s="27" t="n"/>
      <c r="K164" s="27" t="n"/>
      <c r="L164" s="28" t="n"/>
      <c r="M164" s="27" t="n"/>
      <c r="N164" s="27" t="n"/>
      <c r="O164" s="27">
        <f>IF(AND(M164="",N164=""),"",IF(OR(M164="No Hit",N164="No Hit"),"Loss",IF(AND(M164="Hit",N164="Hit"),"Win","Pending")))</f>
        <v/>
      </c>
      <c r="P164" s="28">
        <f>IF(OR(K164="",L164=""),"",IF(K164&gt;0,L164*(K164/100),L164*(100/(-K164))))</f>
        <v/>
      </c>
      <c r="Q164" s="29">
        <f>IF(O164="Win",P164,IF(O164="Loss",-L164,""))</f>
        <v/>
      </c>
      <c r="R164" s="29">
        <f>IF(Q164="","",SUM($Q$2:Q164))</f>
        <v/>
      </c>
      <c r="S164" s="25" t="n"/>
    </row>
    <row r="165">
      <c r="A165" s="24" t="n"/>
      <c r="B165" s="25" t="n"/>
      <c r="C165" s="27" t="n"/>
      <c r="D165" s="26" t="n"/>
      <c r="E165" s="27" t="n"/>
      <c r="F165" s="25" t="n"/>
      <c r="G165" s="27" t="n"/>
      <c r="H165" s="26" t="n"/>
      <c r="I165" s="27" t="n"/>
      <c r="J165" s="27" t="n"/>
      <c r="K165" s="27" t="n"/>
      <c r="L165" s="28" t="n"/>
      <c r="M165" s="27" t="n"/>
      <c r="N165" s="27" t="n"/>
      <c r="O165" s="27">
        <f>IF(AND(M165="",N165=""),"",IF(OR(M165="No Hit",N165="No Hit"),"Loss",IF(AND(M165="Hit",N165="Hit"),"Win","Pending")))</f>
        <v/>
      </c>
      <c r="P165" s="28">
        <f>IF(OR(K165="",L165=""),"",IF(K165&gt;0,L165*(K165/100),L165*(100/(-K165))))</f>
        <v/>
      </c>
      <c r="Q165" s="29">
        <f>IF(O165="Win",P165,IF(O165="Loss",-L165,""))</f>
        <v/>
      </c>
      <c r="R165" s="29">
        <f>IF(Q165="","",SUM($Q$2:Q165))</f>
        <v/>
      </c>
      <c r="S165" s="25" t="n"/>
    </row>
    <row r="166">
      <c r="A166" s="24" t="n"/>
      <c r="B166" s="25" t="n"/>
      <c r="C166" s="27" t="n"/>
      <c r="D166" s="26" t="n"/>
      <c r="E166" s="27" t="n"/>
      <c r="F166" s="25" t="n"/>
      <c r="G166" s="27" t="n"/>
      <c r="H166" s="26" t="n"/>
      <c r="I166" s="27" t="n"/>
      <c r="J166" s="27" t="n"/>
      <c r="K166" s="27" t="n"/>
      <c r="L166" s="28" t="n"/>
      <c r="M166" s="27" t="n"/>
      <c r="N166" s="27" t="n"/>
      <c r="O166" s="27">
        <f>IF(AND(M166="",N166=""),"",IF(OR(M166="No Hit",N166="No Hit"),"Loss",IF(AND(M166="Hit",N166="Hit"),"Win","Pending")))</f>
        <v/>
      </c>
      <c r="P166" s="28">
        <f>IF(OR(K166="",L166=""),"",IF(K166&gt;0,L166*(K166/100),L166*(100/(-K166))))</f>
        <v/>
      </c>
      <c r="Q166" s="29">
        <f>IF(O166="Win",P166,IF(O166="Loss",-L166,""))</f>
        <v/>
      </c>
      <c r="R166" s="29">
        <f>IF(Q166="","",SUM($Q$2:Q166))</f>
        <v/>
      </c>
      <c r="S166" s="25" t="n"/>
    </row>
    <row r="167">
      <c r="A167" s="24" t="n"/>
      <c r="B167" s="25" t="n"/>
      <c r="C167" s="27" t="n"/>
      <c r="D167" s="26" t="n"/>
      <c r="E167" s="27" t="n"/>
      <c r="F167" s="25" t="n"/>
      <c r="G167" s="27" t="n"/>
      <c r="H167" s="26" t="n"/>
      <c r="I167" s="27" t="n"/>
      <c r="J167" s="27" t="n"/>
      <c r="K167" s="27" t="n"/>
      <c r="L167" s="28" t="n"/>
      <c r="M167" s="27" t="n"/>
      <c r="N167" s="27" t="n"/>
      <c r="O167" s="27">
        <f>IF(AND(M167="",N167=""),"",IF(OR(M167="No Hit",N167="No Hit"),"Loss",IF(AND(M167="Hit",N167="Hit"),"Win","Pending")))</f>
        <v/>
      </c>
      <c r="P167" s="28">
        <f>IF(OR(K167="",L167=""),"",IF(K167&gt;0,L167*(K167/100),L167*(100/(-K167))))</f>
        <v/>
      </c>
      <c r="Q167" s="29">
        <f>IF(O167="Win",P167,IF(O167="Loss",-L167,""))</f>
        <v/>
      </c>
      <c r="R167" s="29">
        <f>IF(Q167="","",SUM($Q$2:Q167))</f>
        <v/>
      </c>
      <c r="S167" s="25" t="n"/>
    </row>
    <row r="168">
      <c r="A168" s="24" t="n"/>
      <c r="B168" s="25" t="n"/>
      <c r="C168" s="27" t="n"/>
      <c r="D168" s="26" t="n"/>
      <c r="E168" s="27" t="n"/>
      <c r="F168" s="25" t="n"/>
      <c r="G168" s="27" t="n"/>
      <c r="H168" s="26" t="n"/>
      <c r="I168" s="27" t="n"/>
      <c r="J168" s="27" t="n"/>
      <c r="K168" s="27" t="n"/>
      <c r="L168" s="28" t="n"/>
      <c r="M168" s="27" t="n"/>
      <c r="N168" s="27" t="n"/>
      <c r="O168" s="27">
        <f>IF(AND(M168="",N168=""),"",IF(OR(M168="No Hit",N168="No Hit"),"Loss",IF(AND(M168="Hit",N168="Hit"),"Win","Pending")))</f>
        <v/>
      </c>
      <c r="P168" s="28">
        <f>IF(OR(K168="",L168=""),"",IF(K168&gt;0,L168*(K168/100),L168*(100/(-K168))))</f>
        <v/>
      </c>
      <c r="Q168" s="29">
        <f>IF(O168="Win",P168,IF(O168="Loss",-L168,""))</f>
        <v/>
      </c>
      <c r="R168" s="29">
        <f>IF(Q168="","",SUM($Q$2:Q168))</f>
        <v/>
      </c>
      <c r="S168" s="25" t="n"/>
    </row>
    <row r="169">
      <c r="A169" s="24" t="n"/>
      <c r="B169" s="25" t="n"/>
      <c r="C169" s="27" t="n"/>
      <c r="D169" s="26" t="n"/>
      <c r="E169" s="27" t="n"/>
      <c r="F169" s="25" t="n"/>
      <c r="G169" s="27" t="n"/>
      <c r="H169" s="26" t="n"/>
      <c r="I169" s="27" t="n"/>
      <c r="J169" s="27" t="n"/>
      <c r="K169" s="27" t="n"/>
      <c r="L169" s="28" t="n"/>
      <c r="M169" s="27" t="n"/>
      <c r="N169" s="27" t="n"/>
      <c r="O169" s="27">
        <f>IF(AND(M169="",N169=""),"",IF(OR(M169="No Hit",N169="No Hit"),"Loss",IF(AND(M169="Hit",N169="Hit"),"Win","Pending")))</f>
        <v/>
      </c>
      <c r="P169" s="28">
        <f>IF(OR(K169="",L169=""),"",IF(K169&gt;0,L169*(K169/100),L169*(100/(-K169))))</f>
        <v/>
      </c>
      <c r="Q169" s="29">
        <f>IF(O169="Win",P169,IF(O169="Loss",-L169,""))</f>
        <v/>
      </c>
      <c r="R169" s="29">
        <f>IF(Q169="","",SUM($Q$2:Q169))</f>
        <v/>
      </c>
      <c r="S169" s="25" t="n"/>
    </row>
    <row r="170">
      <c r="A170" s="24" t="n"/>
      <c r="B170" s="25" t="n"/>
      <c r="C170" s="27" t="n"/>
      <c r="D170" s="26" t="n"/>
      <c r="E170" s="27" t="n"/>
      <c r="F170" s="25" t="n"/>
      <c r="G170" s="27" t="n"/>
      <c r="H170" s="26" t="n"/>
      <c r="I170" s="27" t="n"/>
      <c r="J170" s="27" t="n"/>
      <c r="K170" s="27" t="n"/>
      <c r="L170" s="28" t="n"/>
      <c r="M170" s="27" t="n"/>
      <c r="N170" s="27" t="n"/>
      <c r="O170" s="27">
        <f>IF(AND(M170="",N170=""),"",IF(OR(M170="No Hit",N170="No Hit"),"Loss",IF(AND(M170="Hit",N170="Hit"),"Win","Pending")))</f>
        <v/>
      </c>
      <c r="P170" s="28">
        <f>IF(OR(K170="",L170=""),"",IF(K170&gt;0,L170*(K170/100),L170*(100/(-K170))))</f>
        <v/>
      </c>
      <c r="Q170" s="29">
        <f>IF(O170="Win",P170,IF(O170="Loss",-L170,""))</f>
        <v/>
      </c>
      <c r="R170" s="29">
        <f>IF(Q170="","",SUM($Q$2:Q170))</f>
        <v/>
      </c>
      <c r="S170" s="25" t="n"/>
    </row>
    <row r="171">
      <c r="A171" s="24" t="n"/>
      <c r="B171" s="25" t="n"/>
      <c r="C171" s="27" t="n"/>
      <c r="D171" s="26" t="n"/>
      <c r="E171" s="27" t="n"/>
      <c r="F171" s="25" t="n"/>
      <c r="G171" s="27" t="n"/>
      <c r="H171" s="26" t="n"/>
      <c r="I171" s="27" t="n"/>
      <c r="J171" s="27" t="n"/>
      <c r="K171" s="27" t="n"/>
      <c r="L171" s="28" t="n"/>
      <c r="M171" s="27" t="n"/>
      <c r="N171" s="27" t="n"/>
      <c r="O171" s="27">
        <f>IF(AND(M171="",N171=""),"",IF(OR(M171="No Hit",N171="No Hit"),"Loss",IF(AND(M171="Hit",N171="Hit"),"Win","Pending")))</f>
        <v/>
      </c>
      <c r="P171" s="28">
        <f>IF(OR(K171="",L171=""),"",IF(K171&gt;0,L171*(K171/100),L171*(100/(-K171))))</f>
        <v/>
      </c>
      <c r="Q171" s="29">
        <f>IF(O171="Win",P171,IF(O171="Loss",-L171,""))</f>
        <v/>
      </c>
      <c r="R171" s="29">
        <f>IF(Q171="","",SUM($Q$2:Q171))</f>
        <v/>
      </c>
      <c r="S171" s="25" t="n"/>
    </row>
    <row r="172">
      <c r="A172" s="24" t="n"/>
      <c r="B172" s="25" t="n"/>
      <c r="C172" s="27" t="n"/>
      <c r="D172" s="26" t="n"/>
      <c r="E172" s="27" t="n"/>
      <c r="F172" s="25" t="n"/>
      <c r="G172" s="27" t="n"/>
      <c r="H172" s="26" t="n"/>
      <c r="I172" s="27" t="n"/>
      <c r="J172" s="27" t="n"/>
      <c r="K172" s="27" t="n"/>
      <c r="L172" s="28" t="n"/>
      <c r="M172" s="27" t="n"/>
      <c r="N172" s="27" t="n"/>
      <c r="O172" s="27">
        <f>IF(AND(M172="",N172=""),"",IF(OR(M172="No Hit",N172="No Hit"),"Loss",IF(AND(M172="Hit",N172="Hit"),"Win","Pending")))</f>
        <v/>
      </c>
      <c r="P172" s="28">
        <f>IF(OR(K172="",L172=""),"",IF(K172&gt;0,L172*(K172/100),L172*(100/(-K172))))</f>
        <v/>
      </c>
      <c r="Q172" s="29">
        <f>IF(O172="Win",P172,IF(O172="Loss",-L172,""))</f>
        <v/>
      </c>
      <c r="R172" s="29">
        <f>IF(Q172="","",SUM($Q$2:Q172))</f>
        <v/>
      </c>
      <c r="S172" s="25" t="n"/>
    </row>
    <row r="173">
      <c r="A173" s="24" t="n"/>
      <c r="B173" s="25" t="n"/>
      <c r="C173" s="27" t="n"/>
      <c r="D173" s="26" t="n"/>
      <c r="E173" s="27" t="n"/>
      <c r="F173" s="25" t="n"/>
      <c r="G173" s="27" t="n"/>
      <c r="H173" s="26" t="n"/>
      <c r="I173" s="27" t="n"/>
      <c r="J173" s="27" t="n"/>
      <c r="K173" s="27" t="n"/>
      <c r="L173" s="28" t="n"/>
      <c r="M173" s="27" t="n"/>
      <c r="N173" s="27" t="n"/>
      <c r="O173" s="27">
        <f>IF(AND(M173="",N173=""),"",IF(OR(M173="No Hit",N173="No Hit"),"Loss",IF(AND(M173="Hit",N173="Hit"),"Win","Pending")))</f>
        <v/>
      </c>
      <c r="P173" s="28">
        <f>IF(OR(K173="",L173=""),"",IF(K173&gt;0,L173*(K173/100),L173*(100/(-K173))))</f>
        <v/>
      </c>
      <c r="Q173" s="29">
        <f>IF(O173="Win",P173,IF(O173="Loss",-L173,""))</f>
        <v/>
      </c>
      <c r="R173" s="29">
        <f>IF(Q173="","",SUM($Q$2:Q173))</f>
        <v/>
      </c>
      <c r="S173" s="25" t="n"/>
    </row>
    <row r="174">
      <c r="A174" s="24" t="n"/>
      <c r="B174" s="25" t="n"/>
      <c r="C174" s="27" t="n"/>
      <c r="D174" s="26" t="n"/>
      <c r="E174" s="27" t="n"/>
      <c r="F174" s="25" t="n"/>
      <c r="G174" s="27" t="n"/>
      <c r="H174" s="26" t="n"/>
      <c r="I174" s="27" t="n"/>
      <c r="J174" s="27" t="n"/>
      <c r="K174" s="27" t="n"/>
      <c r="L174" s="28" t="n"/>
      <c r="M174" s="27" t="n"/>
      <c r="N174" s="27" t="n"/>
      <c r="O174" s="27">
        <f>IF(AND(M174="",N174=""),"",IF(OR(M174="No Hit",N174="No Hit"),"Loss",IF(AND(M174="Hit",N174="Hit"),"Win","Pending")))</f>
        <v/>
      </c>
      <c r="P174" s="28">
        <f>IF(OR(K174="",L174=""),"",IF(K174&gt;0,L174*(K174/100),L174*(100/(-K174))))</f>
        <v/>
      </c>
      <c r="Q174" s="29">
        <f>IF(O174="Win",P174,IF(O174="Loss",-L174,""))</f>
        <v/>
      </c>
      <c r="R174" s="29">
        <f>IF(Q174="","",SUM($Q$2:Q174))</f>
        <v/>
      </c>
      <c r="S174" s="25" t="n"/>
    </row>
    <row r="175">
      <c r="A175" s="24" t="n"/>
      <c r="B175" s="25" t="n"/>
      <c r="C175" s="27" t="n"/>
      <c r="D175" s="26" t="n"/>
      <c r="E175" s="27" t="n"/>
      <c r="F175" s="25" t="n"/>
      <c r="G175" s="27" t="n"/>
      <c r="H175" s="26" t="n"/>
      <c r="I175" s="27" t="n"/>
      <c r="J175" s="27" t="n"/>
      <c r="K175" s="27" t="n"/>
      <c r="L175" s="28" t="n"/>
      <c r="M175" s="27" t="n"/>
      <c r="N175" s="27" t="n"/>
      <c r="O175" s="27">
        <f>IF(AND(M175="",N175=""),"",IF(OR(M175="No Hit",N175="No Hit"),"Loss",IF(AND(M175="Hit",N175="Hit"),"Win","Pending")))</f>
        <v/>
      </c>
      <c r="P175" s="28">
        <f>IF(OR(K175="",L175=""),"",IF(K175&gt;0,L175*(K175/100),L175*(100/(-K175))))</f>
        <v/>
      </c>
      <c r="Q175" s="29">
        <f>IF(O175="Win",P175,IF(O175="Loss",-L175,""))</f>
        <v/>
      </c>
      <c r="R175" s="29">
        <f>IF(Q175="","",SUM($Q$2:Q175))</f>
        <v/>
      </c>
      <c r="S175" s="25" t="n"/>
    </row>
    <row r="176">
      <c r="A176" s="24" t="n"/>
      <c r="B176" s="25" t="n"/>
      <c r="C176" s="27" t="n"/>
      <c r="D176" s="26" t="n"/>
      <c r="E176" s="27" t="n"/>
      <c r="F176" s="25" t="n"/>
      <c r="G176" s="27" t="n"/>
      <c r="H176" s="26" t="n"/>
      <c r="I176" s="27" t="n"/>
      <c r="J176" s="27" t="n"/>
      <c r="K176" s="27" t="n"/>
      <c r="L176" s="28" t="n"/>
      <c r="M176" s="27" t="n"/>
      <c r="N176" s="27" t="n"/>
      <c r="O176" s="27">
        <f>IF(AND(M176="",N176=""),"",IF(OR(M176="No Hit",N176="No Hit"),"Loss",IF(AND(M176="Hit",N176="Hit"),"Win","Pending")))</f>
        <v/>
      </c>
      <c r="P176" s="28">
        <f>IF(OR(K176="",L176=""),"",IF(K176&gt;0,L176*(K176/100),L176*(100/(-K176))))</f>
        <v/>
      </c>
      <c r="Q176" s="29">
        <f>IF(O176="Win",P176,IF(O176="Loss",-L176,""))</f>
        <v/>
      </c>
      <c r="R176" s="29">
        <f>IF(Q176="","",SUM($Q$2:Q176))</f>
        <v/>
      </c>
      <c r="S176" s="25" t="n"/>
    </row>
    <row r="177">
      <c r="A177" s="24" t="n"/>
      <c r="B177" s="25" t="n"/>
      <c r="C177" s="27" t="n"/>
      <c r="D177" s="26" t="n"/>
      <c r="E177" s="27" t="n"/>
      <c r="F177" s="25" t="n"/>
      <c r="G177" s="27" t="n"/>
      <c r="H177" s="26" t="n"/>
      <c r="I177" s="27" t="n"/>
      <c r="J177" s="27" t="n"/>
      <c r="K177" s="27" t="n"/>
      <c r="L177" s="28" t="n"/>
      <c r="M177" s="27" t="n"/>
      <c r="N177" s="27" t="n"/>
      <c r="O177" s="27">
        <f>IF(AND(M177="",N177=""),"",IF(OR(M177="No Hit",N177="No Hit"),"Loss",IF(AND(M177="Hit",N177="Hit"),"Win","Pending")))</f>
        <v/>
      </c>
      <c r="P177" s="28">
        <f>IF(OR(K177="",L177=""),"",IF(K177&gt;0,L177*(K177/100),L177*(100/(-K177))))</f>
        <v/>
      </c>
      <c r="Q177" s="29">
        <f>IF(O177="Win",P177,IF(O177="Loss",-L177,""))</f>
        <v/>
      </c>
      <c r="R177" s="29">
        <f>IF(Q177="","",SUM($Q$2:Q177))</f>
        <v/>
      </c>
      <c r="S177" s="25" t="n"/>
    </row>
    <row r="178">
      <c r="A178" s="24" t="n"/>
      <c r="B178" s="25" t="n"/>
      <c r="C178" s="27" t="n"/>
      <c r="D178" s="26" t="n"/>
      <c r="E178" s="27" t="n"/>
      <c r="F178" s="25" t="n"/>
      <c r="G178" s="27" t="n"/>
      <c r="H178" s="26" t="n"/>
      <c r="I178" s="27" t="n"/>
      <c r="J178" s="27" t="n"/>
      <c r="K178" s="27" t="n"/>
      <c r="L178" s="28" t="n"/>
      <c r="M178" s="27" t="n"/>
      <c r="N178" s="27" t="n"/>
      <c r="O178" s="27">
        <f>IF(AND(M178="",N178=""),"",IF(OR(M178="No Hit",N178="No Hit"),"Loss",IF(AND(M178="Hit",N178="Hit"),"Win","Pending")))</f>
        <v/>
      </c>
      <c r="P178" s="28">
        <f>IF(OR(K178="",L178=""),"",IF(K178&gt;0,L178*(K178/100),L178*(100/(-K178))))</f>
        <v/>
      </c>
      <c r="Q178" s="29">
        <f>IF(O178="Win",P178,IF(O178="Loss",-L178,""))</f>
        <v/>
      </c>
      <c r="R178" s="29">
        <f>IF(Q178="","",SUM($Q$2:Q178))</f>
        <v/>
      </c>
      <c r="S178" s="25" t="n"/>
    </row>
    <row r="179">
      <c r="A179" s="24" t="n"/>
      <c r="B179" s="25" t="n"/>
      <c r="C179" s="27" t="n"/>
      <c r="D179" s="26" t="n"/>
      <c r="E179" s="27" t="n"/>
      <c r="F179" s="25" t="n"/>
      <c r="G179" s="27" t="n"/>
      <c r="H179" s="26" t="n"/>
      <c r="I179" s="27" t="n"/>
      <c r="J179" s="27" t="n"/>
      <c r="K179" s="27" t="n"/>
      <c r="L179" s="28" t="n"/>
      <c r="M179" s="27" t="n"/>
      <c r="N179" s="27" t="n"/>
      <c r="O179" s="27">
        <f>IF(AND(M179="",N179=""),"",IF(OR(M179="No Hit",N179="No Hit"),"Loss",IF(AND(M179="Hit",N179="Hit"),"Win","Pending")))</f>
        <v/>
      </c>
      <c r="P179" s="28">
        <f>IF(OR(K179="",L179=""),"",IF(K179&gt;0,L179*(K179/100),L179*(100/(-K179))))</f>
        <v/>
      </c>
      <c r="Q179" s="29">
        <f>IF(O179="Win",P179,IF(O179="Loss",-L179,""))</f>
        <v/>
      </c>
      <c r="R179" s="29">
        <f>IF(Q179="","",SUM($Q$2:Q179))</f>
        <v/>
      </c>
      <c r="S179" s="25" t="n"/>
    </row>
    <row r="180">
      <c r="A180" s="24" t="n"/>
      <c r="B180" s="25" t="n"/>
      <c r="C180" s="27" t="n"/>
      <c r="D180" s="26" t="n"/>
      <c r="E180" s="27" t="n"/>
      <c r="F180" s="25" t="n"/>
      <c r="G180" s="27" t="n"/>
      <c r="H180" s="26" t="n"/>
      <c r="I180" s="27" t="n"/>
      <c r="J180" s="27" t="n"/>
      <c r="K180" s="27" t="n"/>
      <c r="L180" s="28" t="n"/>
      <c r="M180" s="27" t="n"/>
      <c r="N180" s="27" t="n"/>
      <c r="O180" s="27">
        <f>IF(AND(M180="",N180=""),"",IF(OR(M180="No Hit",N180="No Hit"),"Loss",IF(AND(M180="Hit",N180="Hit"),"Win","Pending")))</f>
        <v/>
      </c>
      <c r="P180" s="28">
        <f>IF(OR(K180="",L180=""),"",IF(K180&gt;0,L180*(K180/100),L180*(100/(-K180))))</f>
        <v/>
      </c>
      <c r="Q180" s="29">
        <f>IF(O180="Win",P180,IF(O180="Loss",-L180,""))</f>
        <v/>
      </c>
      <c r="R180" s="29">
        <f>IF(Q180="","",SUM($Q$2:Q180))</f>
        <v/>
      </c>
      <c r="S180" s="25" t="n"/>
    </row>
    <row r="181">
      <c r="A181" s="24" t="n"/>
      <c r="B181" s="25" t="n"/>
      <c r="C181" s="27" t="n"/>
      <c r="D181" s="26" t="n"/>
      <c r="E181" s="27" t="n"/>
      <c r="F181" s="25" t="n"/>
      <c r="G181" s="27" t="n"/>
      <c r="H181" s="26" t="n"/>
      <c r="I181" s="27" t="n"/>
      <c r="J181" s="27" t="n"/>
      <c r="K181" s="27" t="n"/>
      <c r="L181" s="28" t="n"/>
      <c r="M181" s="27" t="n"/>
      <c r="N181" s="27" t="n"/>
      <c r="O181" s="27">
        <f>IF(AND(M181="",N181=""),"",IF(OR(M181="No Hit",N181="No Hit"),"Loss",IF(AND(M181="Hit",N181="Hit"),"Win","Pending")))</f>
        <v/>
      </c>
      <c r="P181" s="28">
        <f>IF(OR(K181="",L181=""),"",IF(K181&gt;0,L181*(K181/100),L181*(100/(-K181))))</f>
        <v/>
      </c>
      <c r="Q181" s="29">
        <f>IF(O181="Win",P181,IF(O181="Loss",-L181,""))</f>
        <v/>
      </c>
      <c r="R181" s="29">
        <f>IF(Q181="","",SUM($Q$2:Q181))</f>
        <v/>
      </c>
      <c r="S181" s="25" t="n"/>
    </row>
    <row r="182">
      <c r="A182" s="24" t="n"/>
      <c r="B182" s="25" t="n"/>
      <c r="C182" s="27" t="n"/>
      <c r="D182" s="26" t="n"/>
      <c r="E182" s="27" t="n"/>
      <c r="F182" s="25" t="n"/>
      <c r="G182" s="27" t="n"/>
      <c r="H182" s="26" t="n"/>
      <c r="I182" s="27" t="n"/>
      <c r="J182" s="27" t="n"/>
      <c r="K182" s="27" t="n"/>
      <c r="L182" s="28" t="n"/>
      <c r="M182" s="27" t="n"/>
      <c r="N182" s="27" t="n"/>
      <c r="O182" s="27">
        <f>IF(AND(M182="",N182=""),"",IF(OR(M182="No Hit",N182="No Hit"),"Loss",IF(AND(M182="Hit",N182="Hit"),"Win","Pending")))</f>
        <v/>
      </c>
      <c r="P182" s="28">
        <f>IF(OR(K182="",L182=""),"",IF(K182&gt;0,L182*(K182/100),L182*(100/(-K182))))</f>
        <v/>
      </c>
      <c r="Q182" s="29">
        <f>IF(O182="Win",P182,IF(O182="Loss",-L182,""))</f>
        <v/>
      </c>
      <c r="R182" s="29">
        <f>IF(Q182="","",SUM($Q$2:Q182))</f>
        <v/>
      </c>
      <c r="S182" s="25" t="n"/>
    </row>
    <row r="183">
      <c r="A183" s="24" t="n"/>
      <c r="B183" s="25" t="n"/>
      <c r="C183" s="27" t="n"/>
      <c r="D183" s="26" t="n"/>
      <c r="E183" s="27" t="n"/>
      <c r="F183" s="25" t="n"/>
      <c r="G183" s="27" t="n"/>
      <c r="H183" s="26" t="n"/>
      <c r="I183" s="27" t="n"/>
      <c r="J183" s="27" t="n"/>
      <c r="K183" s="27" t="n"/>
      <c r="L183" s="28" t="n"/>
      <c r="M183" s="27" t="n"/>
      <c r="N183" s="27" t="n"/>
      <c r="O183" s="27">
        <f>IF(AND(M183="",N183=""),"",IF(OR(M183="No Hit",N183="No Hit"),"Loss",IF(AND(M183="Hit",N183="Hit"),"Win","Pending")))</f>
        <v/>
      </c>
      <c r="P183" s="28">
        <f>IF(OR(K183="",L183=""),"",IF(K183&gt;0,L183*(K183/100),L183*(100/(-K183))))</f>
        <v/>
      </c>
      <c r="Q183" s="29">
        <f>IF(O183="Win",P183,IF(O183="Loss",-L183,""))</f>
        <v/>
      </c>
      <c r="R183" s="29">
        <f>IF(Q183="","",SUM($Q$2:Q183))</f>
        <v/>
      </c>
      <c r="S183" s="25" t="n"/>
    </row>
    <row r="184">
      <c r="A184" s="24" t="n"/>
      <c r="B184" s="25" t="n"/>
      <c r="C184" s="27" t="n"/>
      <c r="D184" s="26" t="n"/>
      <c r="E184" s="27" t="n"/>
      <c r="F184" s="25" t="n"/>
      <c r="G184" s="27" t="n"/>
      <c r="H184" s="26" t="n"/>
      <c r="I184" s="27" t="n"/>
      <c r="J184" s="27" t="n"/>
      <c r="K184" s="27" t="n"/>
      <c r="L184" s="28" t="n"/>
      <c r="M184" s="27" t="n"/>
      <c r="N184" s="27" t="n"/>
      <c r="O184" s="27">
        <f>IF(AND(M184="",N184=""),"",IF(OR(M184="No Hit",N184="No Hit"),"Loss",IF(AND(M184="Hit",N184="Hit"),"Win","Pending")))</f>
        <v/>
      </c>
      <c r="P184" s="28">
        <f>IF(OR(K184="",L184=""),"",IF(K184&gt;0,L184*(K184/100),L184*(100/(-K184))))</f>
        <v/>
      </c>
      <c r="Q184" s="29">
        <f>IF(O184="Win",P184,IF(O184="Loss",-L184,""))</f>
        <v/>
      </c>
      <c r="R184" s="29">
        <f>IF(Q184="","",SUM($Q$2:Q184))</f>
        <v/>
      </c>
      <c r="S184" s="25" t="n"/>
    </row>
    <row r="185">
      <c r="A185" s="24" t="n"/>
      <c r="B185" s="25" t="n"/>
      <c r="C185" s="27" t="n"/>
      <c r="D185" s="26" t="n"/>
      <c r="E185" s="27" t="n"/>
      <c r="F185" s="25" t="n"/>
      <c r="G185" s="27" t="n"/>
      <c r="H185" s="26" t="n"/>
      <c r="I185" s="27" t="n"/>
      <c r="J185" s="27" t="n"/>
      <c r="K185" s="27" t="n"/>
      <c r="L185" s="28" t="n"/>
      <c r="M185" s="27" t="n"/>
      <c r="N185" s="27" t="n"/>
      <c r="O185" s="27">
        <f>IF(AND(M185="",N185=""),"",IF(OR(M185="No Hit",N185="No Hit"),"Loss",IF(AND(M185="Hit",N185="Hit"),"Win","Pending")))</f>
        <v/>
      </c>
      <c r="P185" s="28">
        <f>IF(OR(K185="",L185=""),"",IF(K185&gt;0,L185*(K185/100),L185*(100/(-K185))))</f>
        <v/>
      </c>
      <c r="Q185" s="29">
        <f>IF(O185="Win",P185,IF(O185="Loss",-L185,""))</f>
        <v/>
      </c>
      <c r="R185" s="29">
        <f>IF(Q185="","",SUM($Q$2:Q185))</f>
        <v/>
      </c>
      <c r="S185" s="25" t="n"/>
    </row>
    <row r="186">
      <c r="A186" s="24" t="n"/>
      <c r="B186" s="25" t="n"/>
      <c r="C186" s="27" t="n"/>
      <c r="D186" s="26" t="n"/>
      <c r="E186" s="27" t="n"/>
      <c r="F186" s="25" t="n"/>
      <c r="G186" s="27" t="n"/>
      <c r="H186" s="26" t="n"/>
      <c r="I186" s="27" t="n"/>
      <c r="J186" s="27" t="n"/>
      <c r="K186" s="27" t="n"/>
      <c r="L186" s="28" t="n"/>
      <c r="M186" s="27" t="n"/>
      <c r="N186" s="27" t="n"/>
      <c r="O186" s="27">
        <f>IF(AND(M186="",N186=""),"",IF(OR(M186="No Hit",N186="No Hit"),"Loss",IF(AND(M186="Hit",N186="Hit"),"Win","Pending")))</f>
        <v/>
      </c>
      <c r="P186" s="28">
        <f>IF(OR(K186="",L186=""),"",IF(K186&gt;0,L186*(K186/100),L186*(100/(-K186))))</f>
        <v/>
      </c>
      <c r="Q186" s="29">
        <f>IF(O186="Win",P186,IF(O186="Loss",-L186,""))</f>
        <v/>
      </c>
      <c r="R186" s="29">
        <f>IF(Q186="","",SUM($Q$2:Q186))</f>
        <v/>
      </c>
      <c r="S186" s="25" t="n"/>
    </row>
    <row r="187">
      <c r="A187" s="24" t="n"/>
      <c r="B187" s="25" t="n"/>
      <c r="C187" s="27" t="n"/>
      <c r="D187" s="26" t="n"/>
      <c r="E187" s="27" t="n"/>
      <c r="F187" s="25" t="n"/>
      <c r="G187" s="27" t="n"/>
      <c r="H187" s="26" t="n"/>
      <c r="I187" s="27" t="n"/>
      <c r="J187" s="27" t="n"/>
      <c r="K187" s="27" t="n"/>
      <c r="L187" s="28" t="n"/>
      <c r="M187" s="27" t="n"/>
      <c r="N187" s="27" t="n"/>
      <c r="O187" s="27">
        <f>IF(AND(M187="",N187=""),"",IF(OR(M187="No Hit",N187="No Hit"),"Loss",IF(AND(M187="Hit",N187="Hit"),"Win","Pending")))</f>
        <v/>
      </c>
      <c r="P187" s="28">
        <f>IF(OR(K187="",L187=""),"",IF(K187&gt;0,L187*(K187/100),L187*(100/(-K187))))</f>
        <v/>
      </c>
      <c r="Q187" s="29">
        <f>IF(O187="Win",P187,IF(O187="Loss",-L187,""))</f>
        <v/>
      </c>
      <c r="R187" s="29">
        <f>IF(Q187="","",SUM($Q$2:Q187))</f>
        <v/>
      </c>
      <c r="S187" s="25" t="n"/>
    </row>
    <row r="188">
      <c r="A188" s="24" t="n"/>
      <c r="B188" s="25" t="n"/>
      <c r="C188" s="27" t="n"/>
      <c r="D188" s="26" t="n"/>
      <c r="E188" s="27" t="n"/>
      <c r="F188" s="25" t="n"/>
      <c r="G188" s="27" t="n"/>
      <c r="H188" s="26" t="n"/>
      <c r="I188" s="27" t="n"/>
      <c r="J188" s="27" t="n"/>
      <c r="K188" s="27" t="n"/>
      <c r="L188" s="28" t="n"/>
      <c r="M188" s="27" t="n"/>
      <c r="N188" s="27" t="n"/>
      <c r="O188" s="27">
        <f>IF(AND(M188="",N188=""),"",IF(OR(M188="No Hit",N188="No Hit"),"Loss",IF(AND(M188="Hit",N188="Hit"),"Win","Pending")))</f>
        <v/>
      </c>
      <c r="P188" s="28">
        <f>IF(OR(K188="",L188=""),"",IF(K188&gt;0,L188*(K188/100),L188*(100/(-K188))))</f>
        <v/>
      </c>
      <c r="Q188" s="29">
        <f>IF(O188="Win",P188,IF(O188="Loss",-L188,""))</f>
        <v/>
      </c>
      <c r="R188" s="29">
        <f>IF(Q188="","",SUM($Q$2:Q188))</f>
        <v/>
      </c>
      <c r="S188" s="25" t="n"/>
    </row>
    <row r="189">
      <c r="A189" s="24" t="n"/>
      <c r="B189" s="25" t="n"/>
      <c r="C189" s="27" t="n"/>
      <c r="D189" s="26" t="n"/>
      <c r="E189" s="27" t="n"/>
      <c r="F189" s="25" t="n"/>
      <c r="G189" s="27" t="n"/>
      <c r="H189" s="26" t="n"/>
      <c r="I189" s="27" t="n"/>
      <c r="J189" s="27" t="n"/>
      <c r="K189" s="27" t="n"/>
      <c r="L189" s="28" t="n"/>
      <c r="M189" s="27" t="n"/>
      <c r="N189" s="27" t="n"/>
      <c r="O189" s="27">
        <f>IF(AND(M189="",N189=""),"",IF(OR(M189="No Hit",N189="No Hit"),"Loss",IF(AND(M189="Hit",N189="Hit"),"Win","Pending")))</f>
        <v/>
      </c>
      <c r="P189" s="28">
        <f>IF(OR(K189="",L189=""),"",IF(K189&gt;0,L189*(K189/100),L189*(100/(-K189))))</f>
        <v/>
      </c>
      <c r="Q189" s="29">
        <f>IF(O189="Win",P189,IF(O189="Loss",-L189,""))</f>
        <v/>
      </c>
      <c r="R189" s="29">
        <f>IF(Q189="","",SUM($Q$2:Q189))</f>
        <v/>
      </c>
      <c r="S189" s="25" t="n"/>
    </row>
    <row r="190">
      <c r="A190" s="24" t="n"/>
      <c r="B190" s="25" t="n"/>
      <c r="C190" s="27" t="n"/>
      <c r="D190" s="26" t="n"/>
      <c r="E190" s="27" t="n"/>
      <c r="F190" s="25" t="n"/>
      <c r="G190" s="27" t="n"/>
      <c r="H190" s="26" t="n"/>
      <c r="I190" s="27" t="n"/>
      <c r="J190" s="27" t="n"/>
      <c r="K190" s="27" t="n"/>
      <c r="L190" s="28" t="n"/>
      <c r="M190" s="27" t="n"/>
      <c r="N190" s="27" t="n"/>
      <c r="O190" s="27">
        <f>IF(AND(M190="",N190=""),"",IF(OR(M190="No Hit",N190="No Hit"),"Loss",IF(AND(M190="Hit",N190="Hit"),"Win","Pending")))</f>
        <v/>
      </c>
      <c r="P190" s="28">
        <f>IF(OR(K190="",L190=""),"",IF(K190&gt;0,L190*(K190/100),L190*(100/(-K190))))</f>
        <v/>
      </c>
      <c r="Q190" s="29">
        <f>IF(O190="Win",P190,IF(O190="Loss",-L190,""))</f>
        <v/>
      </c>
      <c r="R190" s="29">
        <f>IF(Q190="","",SUM($Q$2:Q190))</f>
        <v/>
      </c>
      <c r="S190" s="25" t="n"/>
    </row>
    <row r="191">
      <c r="A191" s="24" t="n"/>
      <c r="B191" s="25" t="n"/>
      <c r="C191" s="27" t="n"/>
      <c r="D191" s="26" t="n"/>
      <c r="E191" s="27" t="n"/>
      <c r="F191" s="25" t="n"/>
      <c r="G191" s="27" t="n"/>
      <c r="H191" s="26" t="n"/>
      <c r="I191" s="27" t="n"/>
      <c r="J191" s="27" t="n"/>
      <c r="K191" s="27" t="n"/>
      <c r="L191" s="28" t="n"/>
      <c r="M191" s="27" t="n"/>
      <c r="N191" s="27" t="n"/>
      <c r="O191" s="27">
        <f>IF(AND(M191="",N191=""),"",IF(OR(M191="No Hit",N191="No Hit"),"Loss",IF(AND(M191="Hit",N191="Hit"),"Win","Pending")))</f>
        <v/>
      </c>
      <c r="P191" s="28">
        <f>IF(OR(K191="",L191=""),"",IF(K191&gt;0,L191*(K191/100),L191*(100/(-K191))))</f>
        <v/>
      </c>
      <c r="Q191" s="29">
        <f>IF(O191="Win",P191,IF(O191="Loss",-L191,""))</f>
        <v/>
      </c>
      <c r="R191" s="29">
        <f>IF(Q191="","",SUM($Q$2:Q191))</f>
        <v/>
      </c>
      <c r="S191" s="25" t="n"/>
    </row>
    <row r="192">
      <c r="A192" s="24" t="n"/>
      <c r="B192" s="25" t="n"/>
      <c r="C192" s="27" t="n"/>
      <c r="D192" s="26" t="n"/>
      <c r="E192" s="27" t="n"/>
      <c r="F192" s="25" t="n"/>
      <c r="G192" s="27" t="n"/>
      <c r="H192" s="26" t="n"/>
      <c r="I192" s="27" t="n"/>
      <c r="J192" s="27" t="n"/>
      <c r="K192" s="27" t="n"/>
      <c r="L192" s="28" t="n"/>
      <c r="M192" s="27" t="n"/>
      <c r="N192" s="27" t="n"/>
      <c r="O192" s="27">
        <f>IF(AND(M192="",N192=""),"",IF(OR(M192="No Hit",N192="No Hit"),"Loss",IF(AND(M192="Hit",N192="Hit"),"Win","Pending")))</f>
        <v/>
      </c>
      <c r="P192" s="28">
        <f>IF(OR(K192="",L192=""),"",IF(K192&gt;0,L192*(K192/100),L192*(100/(-K192))))</f>
        <v/>
      </c>
      <c r="Q192" s="29">
        <f>IF(O192="Win",P192,IF(O192="Loss",-L192,""))</f>
        <v/>
      </c>
      <c r="R192" s="29">
        <f>IF(Q192="","",SUM($Q$2:Q192))</f>
        <v/>
      </c>
      <c r="S192" s="25" t="n"/>
    </row>
    <row r="193">
      <c r="A193" s="24" t="n"/>
      <c r="B193" s="25" t="n"/>
      <c r="C193" s="27" t="n"/>
      <c r="D193" s="26" t="n"/>
      <c r="E193" s="27" t="n"/>
      <c r="F193" s="25" t="n"/>
      <c r="G193" s="27" t="n"/>
      <c r="H193" s="26" t="n"/>
      <c r="I193" s="27" t="n"/>
      <c r="J193" s="27" t="n"/>
      <c r="K193" s="27" t="n"/>
      <c r="L193" s="28" t="n"/>
      <c r="M193" s="27" t="n"/>
      <c r="N193" s="27" t="n"/>
      <c r="O193" s="27">
        <f>IF(AND(M193="",N193=""),"",IF(OR(M193="No Hit",N193="No Hit"),"Loss",IF(AND(M193="Hit",N193="Hit"),"Win","Pending")))</f>
        <v/>
      </c>
      <c r="P193" s="28">
        <f>IF(OR(K193="",L193=""),"",IF(K193&gt;0,L193*(K193/100),L193*(100/(-K193))))</f>
        <v/>
      </c>
      <c r="Q193" s="29">
        <f>IF(O193="Win",P193,IF(O193="Loss",-L193,""))</f>
        <v/>
      </c>
      <c r="R193" s="29">
        <f>IF(Q193="","",SUM($Q$2:Q193))</f>
        <v/>
      </c>
      <c r="S193" s="25" t="n"/>
    </row>
    <row r="194">
      <c r="A194" s="24" t="n"/>
      <c r="B194" s="25" t="n"/>
      <c r="C194" s="27" t="n"/>
      <c r="D194" s="26" t="n"/>
      <c r="E194" s="27" t="n"/>
      <c r="F194" s="25" t="n"/>
      <c r="G194" s="27" t="n"/>
      <c r="H194" s="26" t="n"/>
      <c r="I194" s="27" t="n"/>
      <c r="J194" s="27" t="n"/>
      <c r="K194" s="27" t="n"/>
      <c r="L194" s="28" t="n"/>
      <c r="M194" s="27" t="n"/>
      <c r="N194" s="27" t="n"/>
      <c r="O194" s="27">
        <f>IF(AND(M194="",N194=""),"",IF(OR(M194="No Hit",N194="No Hit"),"Loss",IF(AND(M194="Hit",N194="Hit"),"Win","Pending")))</f>
        <v/>
      </c>
      <c r="P194" s="28">
        <f>IF(OR(K194="",L194=""),"",IF(K194&gt;0,L194*(K194/100),L194*(100/(-K194))))</f>
        <v/>
      </c>
      <c r="Q194" s="29">
        <f>IF(O194="Win",P194,IF(O194="Loss",-L194,""))</f>
        <v/>
      </c>
      <c r="R194" s="29">
        <f>IF(Q194="","",SUM($Q$2:Q194))</f>
        <v/>
      </c>
      <c r="S194" s="25" t="n"/>
    </row>
    <row r="195">
      <c r="A195" s="24" t="n"/>
      <c r="B195" s="25" t="n"/>
      <c r="C195" s="27" t="n"/>
      <c r="D195" s="26" t="n"/>
      <c r="E195" s="27" t="n"/>
      <c r="F195" s="25" t="n"/>
      <c r="G195" s="27" t="n"/>
      <c r="H195" s="26" t="n"/>
      <c r="I195" s="27" t="n"/>
      <c r="J195" s="27" t="n"/>
      <c r="K195" s="27" t="n"/>
      <c r="L195" s="28" t="n"/>
      <c r="M195" s="27" t="n"/>
      <c r="N195" s="27" t="n"/>
      <c r="O195" s="27">
        <f>IF(AND(M195="",N195=""),"",IF(OR(M195="No Hit",N195="No Hit"),"Loss",IF(AND(M195="Hit",N195="Hit"),"Win","Pending")))</f>
        <v/>
      </c>
      <c r="P195" s="28">
        <f>IF(OR(K195="",L195=""),"",IF(K195&gt;0,L195*(K195/100),L195*(100/(-K195))))</f>
        <v/>
      </c>
      <c r="Q195" s="29">
        <f>IF(O195="Win",P195,IF(O195="Loss",-L195,""))</f>
        <v/>
      </c>
      <c r="R195" s="29">
        <f>IF(Q195="","",SUM($Q$2:Q195))</f>
        <v/>
      </c>
      <c r="S195" s="25" t="n"/>
    </row>
    <row r="196">
      <c r="A196" s="24" t="n"/>
      <c r="B196" s="25" t="n"/>
      <c r="C196" s="27" t="n"/>
      <c r="D196" s="26" t="n"/>
      <c r="E196" s="27" t="n"/>
      <c r="F196" s="25" t="n"/>
      <c r="G196" s="27" t="n"/>
      <c r="H196" s="26" t="n"/>
      <c r="I196" s="27" t="n"/>
      <c r="J196" s="27" t="n"/>
      <c r="K196" s="27" t="n"/>
      <c r="L196" s="28" t="n"/>
      <c r="M196" s="27" t="n"/>
      <c r="N196" s="27" t="n"/>
      <c r="O196" s="27">
        <f>IF(AND(M196="",N196=""),"",IF(OR(M196="No Hit",N196="No Hit"),"Loss",IF(AND(M196="Hit",N196="Hit"),"Win","Pending")))</f>
        <v/>
      </c>
      <c r="P196" s="28">
        <f>IF(OR(K196="",L196=""),"",IF(K196&gt;0,L196*(K196/100),L196*(100/(-K196))))</f>
        <v/>
      </c>
      <c r="Q196" s="29">
        <f>IF(O196="Win",P196,IF(O196="Loss",-L196,""))</f>
        <v/>
      </c>
      <c r="R196" s="29">
        <f>IF(Q196="","",SUM($Q$2:Q196))</f>
        <v/>
      </c>
      <c r="S196" s="25" t="n"/>
    </row>
    <row r="197">
      <c r="A197" s="24" t="n"/>
      <c r="B197" s="25" t="n"/>
      <c r="C197" s="27" t="n"/>
      <c r="D197" s="26" t="n"/>
      <c r="E197" s="27" t="n"/>
      <c r="F197" s="25" t="n"/>
      <c r="G197" s="27" t="n"/>
      <c r="H197" s="26" t="n"/>
      <c r="I197" s="27" t="n"/>
      <c r="J197" s="27" t="n"/>
      <c r="K197" s="27" t="n"/>
      <c r="L197" s="28" t="n"/>
      <c r="M197" s="27" t="n"/>
      <c r="N197" s="27" t="n"/>
      <c r="O197" s="27">
        <f>IF(AND(M197="",N197=""),"",IF(OR(M197="No Hit",N197="No Hit"),"Loss",IF(AND(M197="Hit",N197="Hit"),"Win","Pending")))</f>
        <v/>
      </c>
      <c r="P197" s="28">
        <f>IF(OR(K197="",L197=""),"",IF(K197&gt;0,L197*(K197/100),L197*(100/(-K197))))</f>
        <v/>
      </c>
      <c r="Q197" s="29">
        <f>IF(O197="Win",P197,IF(O197="Loss",-L197,""))</f>
        <v/>
      </c>
      <c r="R197" s="29">
        <f>IF(Q197="","",SUM($Q$2:Q197))</f>
        <v/>
      </c>
      <c r="S197" s="25" t="n"/>
    </row>
    <row r="198">
      <c r="A198" s="24" t="n"/>
      <c r="B198" s="25" t="n"/>
      <c r="C198" s="27" t="n"/>
      <c r="D198" s="26" t="n"/>
      <c r="E198" s="27" t="n"/>
      <c r="F198" s="25" t="n"/>
      <c r="G198" s="27" t="n"/>
      <c r="H198" s="26" t="n"/>
      <c r="I198" s="27" t="n"/>
      <c r="J198" s="27" t="n"/>
      <c r="K198" s="27" t="n"/>
      <c r="L198" s="28" t="n"/>
      <c r="M198" s="27" t="n"/>
      <c r="N198" s="27" t="n"/>
      <c r="O198" s="27">
        <f>IF(AND(M198="",N198=""),"",IF(OR(M198="No Hit",N198="No Hit"),"Loss",IF(AND(M198="Hit",N198="Hit"),"Win","Pending")))</f>
        <v/>
      </c>
      <c r="P198" s="28">
        <f>IF(OR(K198="",L198=""),"",IF(K198&gt;0,L198*(K198/100),L198*(100/(-K198))))</f>
        <v/>
      </c>
      <c r="Q198" s="29">
        <f>IF(O198="Win",P198,IF(O198="Loss",-L198,""))</f>
        <v/>
      </c>
      <c r="R198" s="29">
        <f>IF(Q198="","",SUM($Q$2:Q198))</f>
        <v/>
      </c>
      <c r="S198" s="25" t="n"/>
    </row>
    <row r="199">
      <c r="A199" s="24" t="n"/>
      <c r="B199" s="25" t="n"/>
      <c r="C199" s="27" t="n"/>
      <c r="D199" s="26" t="n"/>
      <c r="E199" s="27" t="n"/>
      <c r="F199" s="25" t="n"/>
      <c r="G199" s="27" t="n"/>
      <c r="H199" s="26" t="n"/>
      <c r="I199" s="27" t="n"/>
      <c r="J199" s="27" t="n"/>
      <c r="K199" s="27" t="n"/>
      <c r="L199" s="28" t="n"/>
      <c r="M199" s="27" t="n"/>
      <c r="N199" s="27" t="n"/>
      <c r="O199" s="27">
        <f>IF(AND(M199="",N199=""),"",IF(OR(M199="No Hit",N199="No Hit"),"Loss",IF(AND(M199="Hit",N199="Hit"),"Win","Pending")))</f>
        <v/>
      </c>
      <c r="P199" s="28">
        <f>IF(OR(K199="",L199=""),"",IF(K199&gt;0,L199*(K199/100),L199*(100/(-K199))))</f>
        <v/>
      </c>
      <c r="Q199" s="29">
        <f>IF(O199="Win",P199,IF(O199="Loss",-L199,""))</f>
        <v/>
      </c>
      <c r="R199" s="29">
        <f>IF(Q199="","",SUM($Q$2:Q199))</f>
        <v/>
      </c>
      <c r="S199" s="25" t="n"/>
    </row>
    <row r="200">
      <c r="A200" s="24" t="n"/>
      <c r="B200" s="25" t="n"/>
      <c r="C200" s="27" t="n"/>
      <c r="D200" s="26" t="n"/>
      <c r="E200" s="27" t="n"/>
      <c r="F200" s="25" t="n"/>
      <c r="G200" s="27" t="n"/>
      <c r="H200" s="26" t="n"/>
      <c r="I200" s="27" t="n"/>
      <c r="J200" s="27" t="n"/>
      <c r="K200" s="27" t="n"/>
      <c r="L200" s="28" t="n"/>
      <c r="M200" s="27" t="n"/>
      <c r="N200" s="27" t="n"/>
      <c r="O200" s="27">
        <f>IF(AND(M200="",N200=""),"",IF(OR(M200="No Hit",N200="No Hit"),"Loss",IF(AND(M200="Hit",N200="Hit"),"Win","Pending")))</f>
        <v/>
      </c>
      <c r="P200" s="28">
        <f>IF(OR(K200="",L200=""),"",IF(K200&gt;0,L200*(K200/100),L200*(100/(-K200))))</f>
        <v/>
      </c>
      <c r="Q200" s="29">
        <f>IF(O200="Win",P200,IF(O200="Loss",-L200,""))</f>
        <v/>
      </c>
      <c r="R200" s="29">
        <f>IF(Q200="","",SUM($Q$2:Q200))</f>
        <v/>
      </c>
      <c r="S200" s="25" t="n"/>
    </row>
    <row r="201">
      <c r="A201" s="24" t="n"/>
      <c r="B201" s="25" t="n"/>
      <c r="C201" s="27" t="n"/>
      <c r="D201" s="26" t="n"/>
      <c r="E201" s="27" t="n"/>
      <c r="F201" s="25" t="n"/>
      <c r="G201" s="27" t="n"/>
      <c r="H201" s="26" t="n"/>
      <c r="I201" s="27" t="n"/>
      <c r="J201" s="27" t="n"/>
      <c r="K201" s="27" t="n"/>
      <c r="L201" s="28" t="n"/>
      <c r="M201" s="27" t="n"/>
      <c r="N201" s="27" t="n"/>
      <c r="O201" s="27">
        <f>IF(AND(M201="",N201=""),"",IF(OR(M201="No Hit",N201="No Hit"),"Loss",IF(AND(M201="Hit",N201="Hit"),"Win","Pending")))</f>
        <v/>
      </c>
      <c r="P201" s="28">
        <f>IF(OR(K201="",L201=""),"",IF(K201&gt;0,L201*(K201/100),L201*(100/(-K201))))</f>
        <v/>
      </c>
      <c r="Q201" s="29">
        <f>IF(O201="Win",P201,IF(O201="Loss",-L201,""))</f>
        <v/>
      </c>
      <c r="R201" s="29">
        <f>IF(Q201="","",SUM($Q$2:Q201))</f>
        <v/>
      </c>
      <c r="S201" s="25" t="n"/>
    </row>
    <row r="202">
      <c r="A202" s="24" t="n"/>
      <c r="B202" s="25" t="n"/>
      <c r="C202" s="27" t="n"/>
      <c r="D202" s="26" t="n"/>
      <c r="E202" s="27" t="n"/>
      <c r="F202" s="25" t="n"/>
      <c r="G202" s="27" t="n"/>
      <c r="H202" s="26" t="n"/>
      <c r="I202" s="27" t="n"/>
      <c r="J202" s="27" t="n"/>
      <c r="K202" s="27" t="n"/>
      <c r="L202" s="28" t="n"/>
      <c r="M202" s="27" t="n"/>
      <c r="N202" s="27" t="n"/>
      <c r="O202" s="27">
        <f>IF(AND(M202="",N202=""),"",IF(OR(M202="No Hit",N202="No Hit"),"Loss",IF(AND(M202="Hit",N202="Hit"),"Win","Pending")))</f>
        <v/>
      </c>
      <c r="P202" s="28">
        <f>IF(OR(K202="",L202=""),"",IF(K202&gt;0,L202*(K202/100),L202*(100/(-K202))))</f>
        <v/>
      </c>
      <c r="Q202" s="29">
        <f>IF(O202="Win",P202,IF(O202="Loss",-L202,""))</f>
        <v/>
      </c>
      <c r="R202" s="29">
        <f>IF(Q202="","",SUM($Q$2:Q202))</f>
        <v/>
      </c>
      <c r="S202" s="25" t="n"/>
    </row>
    <row r="203">
      <c r="A203" s="24" t="n"/>
      <c r="B203" s="25" t="n"/>
      <c r="C203" s="27" t="n"/>
      <c r="D203" s="26" t="n"/>
      <c r="E203" s="27" t="n"/>
      <c r="F203" s="25" t="n"/>
      <c r="G203" s="27" t="n"/>
      <c r="H203" s="26" t="n"/>
      <c r="I203" s="27" t="n"/>
      <c r="J203" s="27" t="n"/>
      <c r="K203" s="27" t="n"/>
      <c r="L203" s="28" t="n"/>
      <c r="M203" s="27" t="n"/>
      <c r="N203" s="27" t="n"/>
      <c r="O203" s="27">
        <f>IF(AND(M203="",N203=""),"",IF(OR(M203="No Hit",N203="No Hit"),"Loss",IF(AND(M203="Hit",N203="Hit"),"Win","Pending")))</f>
        <v/>
      </c>
      <c r="P203" s="28">
        <f>IF(OR(K203="",L203=""),"",IF(K203&gt;0,L203*(K203/100),L203*(100/(-K203))))</f>
        <v/>
      </c>
      <c r="Q203" s="29">
        <f>IF(O203="Win",P203,IF(O203="Loss",-L203,""))</f>
        <v/>
      </c>
      <c r="R203" s="29">
        <f>IF(Q203="","",SUM($Q$2:Q203))</f>
        <v/>
      </c>
      <c r="S203" s="25" t="n"/>
    </row>
    <row r="204">
      <c r="A204" s="24" t="n"/>
      <c r="B204" s="25" t="n"/>
      <c r="C204" s="27" t="n"/>
      <c r="D204" s="26" t="n"/>
      <c r="E204" s="27" t="n"/>
      <c r="F204" s="25" t="n"/>
      <c r="G204" s="27" t="n"/>
      <c r="H204" s="26" t="n"/>
      <c r="I204" s="27" t="n"/>
      <c r="J204" s="27" t="n"/>
      <c r="K204" s="27" t="n"/>
      <c r="L204" s="28" t="n"/>
      <c r="M204" s="27" t="n"/>
      <c r="N204" s="27" t="n"/>
      <c r="O204" s="27">
        <f>IF(AND(M204="",N204=""),"",IF(OR(M204="No Hit",N204="No Hit"),"Loss",IF(AND(M204="Hit",N204="Hit"),"Win","Pending")))</f>
        <v/>
      </c>
      <c r="P204" s="28">
        <f>IF(OR(K204="",L204=""),"",IF(K204&gt;0,L204*(K204/100),L204*(100/(-K204))))</f>
        <v/>
      </c>
      <c r="Q204" s="29">
        <f>IF(O204="Win",P204,IF(O204="Loss",-L204,""))</f>
        <v/>
      </c>
      <c r="R204" s="29">
        <f>IF(Q204="","",SUM($Q$2:Q204))</f>
        <v/>
      </c>
      <c r="S204" s="25" t="n"/>
    </row>
    <row r="205">
      <c r="A205" s="24" t="n"/>
      <c r="B205" s="25" t="n"/>
      <c r="C205" s="27" t="n"/>
      <c r="D205" s="26" t="n"/>
      <c r="E205" s="27" t="n"/>
      <c r="F205" s="25" t="n"/>
      <c r="G205" s="27" t="n"/>
      <c r="H205" s="26" t="n"/>
      <c r="I205" s="27" t="n"/>
      <c r="J205" s="27" t="n"/>
      <c r="K205" s="27" t="n"/>
      <c r="L205" s="28" t="n"/>
      <c r="M205" s="27" t="n"/>
      <c r="N205" s="27" t="n"/>
      <c r="O205" s="27">
        <f>IF(AND(M205="",N205=""),"",IF(OR(M205="No Hit",N205="No Hit"),"Loss",IF(AND(M205="Hit",N205="Hit"),"Win","Pending")))</f>
        <v/>
      </c>
      <c r="P205" s="28">
        <f>IF(OR(K205="",L205=""),"",IF(K205&gt;0,L205*(K205/100),L205*(100/(-K205))))</f>
        <v/>
      </c>
      <c r="Q205" s="29">
        <f>IF(O205="Win",P205,IF(O205="Loss",-L205,""))</f>
        <v/>
      </c>
      <c r="R205" s="29">
        <f>IF(Q205="","",SUM($Q$2:Q205))</f>
        <v/>
      </c>
      <c r="S205" s="25" t="n"/>
    </row>
    <row r="206">
      <c r="A206" s="24" t="n"/>
      <c r="B206" s="25" t="n"/>
      <c r="C206" s="27" t="n"/>
      <c r="D206" s="26" t="n"/>
      <c r="E206" s="27" t="n"/>
      <c r="F206" s="25" t="n"/>
      <c r="G206" s="27" t="n"/>
      <c r="H206" s="26" t="n"/>
      <c r="I206" s="27" t="n"/>
      <c r="J206" s="27" t="n"/>
      <c r="K206" s="27" t="n"/>
      <c r="L206" s="28" t="n"/>
      <c r="M206" s="27" t="n"/>
      <c r="N206" s="27" t="n"/>
      <c r="O206" s="27">
        <f>IF(AND(M206="",N206=""),"",IF(OR(M206="No Hit",N206="No Hit"),"Loss",IF(AND(M206="Hit",N206="Hit"),"Win","Pending")))</f>
        <v/>
      </c>
      <c r="P206" s="28">
        <f>IF(OR(K206="",L206=""),"",IF(K206&gt;0,L206*(K206/100),L206*(100/(-K206))))</f>
        <v/>
      </c>
      <c r="Q206" s="29">
        <f>IF(O206="Win",P206,IF(O206="Loss",-L206,""))</f>
        <v/>
      </c>
      <c r="R206" s="29">
        <f>IF(Q206="","",SUM($Q$2:Q206))</f>
        <v/>
      </c>
      <c r="S206" s="25" t="n"/>
    </row>
    <row r="207">
      <c r="A207" s="24" t="n"/>
      <c r="B207" s="25" t="n"/>
      <c r="C207" s="27" t="n"/>
      <c r="D207" s="26" t="n"/>
      <c r="E207" s="27" t="n"/>
      <c r="F207" s="25" t="n"/>
      <c r="G207" s="27" t="n"/>
      <c r="H207" s="26" t="n"/>
      <c r="I207" s="27" t="n"/>
      <c r="J207" s="27" t="n"/>
      <c r="K207" s="27" t="n"/>
      <c r="L207" s="28" t="n"/>
      <c r="M207" s="27" t="n"/>
      <c r="N207" s="27" t="n"/>
      <c r="O207" s="27">
        <f>IF(AND(M207="",N207=""),"",IF(OR(M207="No Hit",N207="No Hit"),"Loss",IF(AND(M207="Hit",N207="Hit"),"Win","Pending")))</f>
        <v/>
      </c>
      <c r="P207" s="28">
        <f>IF(OR(K207="",L207=""),"",IF(K207&gt;0,L207*(K207/100),L207*(100/(-K207))))</f>
        <v/>
      </c>
      <c r="Q207" s="29">
        <f>IF(O207="Win",P207,IF(O207="Loss",-L207,""))</f>
        <v/>
      </c>
      <c r="R207" s="29">
        <f>IF(Q207="","",SUM($Q$2:Q207))</f>
        <v/>
      </c>
      <c r="S207" s="25" t="n"/>
    </row>
    <row r="208">
      <c r="A208" s="24" t="n"/>
      <c r="B208" s="25" t="n"/>
      <c r="C208" s="27" t="n"/>
      <c r="D208" s="26" t="n"/>
      <c r="E208" s="27" t="n"/>
      <c r="F208" s="25" t="n"/>
      <c r="G208" s="27" t="n"/>
      <c r="H208" s="26" t="n"/>
      <c r="I208" s="27" t="n"/>
      <c r="J208" s="27" t="n"/>
      <c r="K208" s="27" t="n"/>
      <c r="L208" s="28" t="n"/>
      <c r="M208" s="27" t="n"/>
      <c r="N208" s="27" t="n"/>
      <c r="O208" s="27">
        <f>IF(AND(M208="",N208=""),"",IF(OR(M208="No Hit",N208="No Hit"),"Loss",IF(AND(M208="Hit",N208="Hit"),"Win","Pending")))</f>
        <v/>
      </c>
      <c r="P208" s="28">
        <f>IF(OR(K208="",L208=""),"",IF(K208&gt;0,L208*(K208/100),L208*(100/(-K208))))</f>
        <v/>
      </c>
      <c r="Q208" s="29">
        <f>IF(O208="Win",P208,IF(O208="Loss",-L208,""))</f>
        <v/>
      </c>
      <c r="R208" s="29">
        <f>IF(Q208="","",SUM($Q$2:Q208))</f>
        <v/>
      </c>
      <c r="S208" s="25" t="n"/>
    </row>
    <row r="209">
      <c r="A209" s="24" t="n"/>
      <c r="B209" s="25" t="n"/>
      <c r="C209" s="27" t="n"/>
      <c r="D209" s="26" t="n"/>
      <c r="E209" s="27" t="n"/>
      <c r="F209" s="25" t="n"/>
      <c r="G209" s="27" t="n"/>
      <c r="H209" s="26" t="n"/>
      <c r="I209" s="27" t="n"/>
      <c r="J209" s="27" t="n"/>
      <c r="K209" s="27" t="n"/>
      <c r="L209" s="28" t="n"/>
      <c r="M209" s="27" t="n"/>
      <c r="N209" s="27" t="n"/>
      <c r="O209" s="27">
        <f>IF(AND(M209="",N209=""),"",IF(OR(M209="No Hit",N209="No Hit"),"Loss",IF(AND(M209="Hit",N209="Hit"),"Win","Pending")))</f>
        <v/>
      </c>
      <c r="P209" s="28">
        <f>IF(OR(K209="",L209=""),"",IF(K209&gt;0,L209*(K209/100),L209*(100/(-K209))))</f>
        <v/>
      </c>
      <c r="Q209" s="29">
        <f>IF(O209="Win",P209,IF(O209="Loss",-L209,""))</f>
        <v/>
      </c>
      <c r="R209" s="29">
        <f>IF(Q209="","",SUM($Q$2:Q209))</f>
        <v/>
      </c>
      <c r="S209" s="25" t="n"/>
    </row>
    <row r="210">
      <c r="A210" s="24" t="n"/>
      <c r="B210" s="25" t="n"/>
      <c r="C210" s="27" t="n"/>
      <c r="D210" s="26" t="n"/>
      <c r="E210" s="27" t="n"/>
      <c r="F210" s="25" t="n"/>
      <c r="G210" s="27" t="n"/>
      <c r="H210" s="26" t="n"/>
      <c r="I210" s="27" t="n"/>
      <c r="J210" s="27" t="n"/>
      <c r="K210" s="27" t="n"/>
      <c r="L210" s="28" t="n"/>
      <c r="M210" s="27" t="n"/>
      <c r="N210" s="27" t="n"/>
      <c r="O210" s="27">
        <f>IF(AND(M210="",N210=""),"",IF(OR(M210="No Hit",N210="No Hit"),"Loss",IF(AND(M210="Hit",N210="Hit"),"Win","Pending")))</f>
        <v/>
      </c>
      <c r="P210" s="28">
        <f>IF(OR(K210="",L210=""),"",IF(K210&gt;0,L210*(K210/100),L210*(100/(-K210))))</f>
        <v/>
      </c>
      <c r="Q210" s="29">
        <f>IF(O210="Win",P210,IF(O210="Loss",-L210,""))</f>
        <v/>
      </c>
      <c r="R210" s="29">
        <f>IF(Q210="","",SUM($Q$2:Q210))</f>
        <v/>
      </c>
      <c r="S210" s="25" t="n"/>
    </row>
    <row r="211">
      <c r="A211" s="24" t="n"/>
      <c r="B211" s="25" t="n"/>
      <c r="C211" s="27" t="n"/>
      <c r="D211" s="26" t="n"/>
      <c r="E211" s="27" t="n"/>
      <c r="F211" s="25" t="n"/>
      <c r="G211" s="27" t="n"/>
      <c r="H211" s="26" t="n"/>
      <c r="I211" s="27" t="n"/>
      <c r="J211" s="27" t="n"/>
      <c r="K211" s="27" t="n"/>
      <c r="L211" s="28" t="n"/>
      <c r="M211" s="27" t="n"/>
      <c r="N211" s="27" t="n"/>
      <c r="O211" s="27">
        <f>IF(AND(M211="",N211=""),"",IF(OR(M211="No Hit",N211="No Hit"),"Loss",IF(AND(M211="Hit",N211="Hit"),"Win","Pending")))</f>
        <v/>
      </c>
      <c r="P211" s="28">
        <f>IF(OR(K211="",L211=""),"",IF(K211&gt;0,L211*(K211/100),L211*(100/(-K211))))</f>
        <v/>
      </c>
      <c r="Q211" s="29">
        <f>IF(O211="Win",P211,IF(O211="Loss",-L211,""))</f>
        <v/>
      </c>
      <c r="R211" s="29">
        <f>IF(Q211="","",SUM($Q$2:Q211))</f>
        <v/>
      </c>
      <c r="S211" s="25" t="n"/>
    </row>
    <row r="212">
      <c r="A212" s="24" t="n"/>
      <c r="B212" s="25" t="n"/>
      <c r="C212" s="27" t="n"/>
      <c r="D212" s="26" t="n"/>
      <c r="E212" s="27" t="n"/>
      <c r="F212" s="25" t="n"/>
      <c r="G212" s="27" t="n"/>
      <c r="H212" s="26" t="n"/>
      <c r="I212" s="27" t="n"/>
      <c r="J212" s="27" t="n"/>
      <c r="K212" s="27" t="n"/>
      <c r="L212" s="28" t="n"/>
      <c r="M212" s="27" t="n"/>
      <c r="N212" s="27" t="n"/>
      <c r="O212" s="27">
        <f>IF(AND(M212="",N212=""),"",IF(OR(M212="No Hit",N212="No Hit"),"Loss",IF(AND(M212="Hit",N212="Hit"),"Win","Pending")))</f>
        <v/>
      </c>
      <c r="P212" s="28">
        <f>IF(OR(K212="",L212=""),"",IF(K212&gt;0,L212*(K212/100),L212*(100/(-K212))))</f>
        <v/>
      </c>
      <c r="Q212" s="29">
        <f>IF(O212="Win",P212,IF(O212="Loss",-L212,""))</f>
        <v/>
      </c>
      <c r="R212" s="29">
        <f>IF(Q212="","",SUM($Q$2:Q212))</f>
        <v/>
      </c>
      <c r="S212" s="25" t="n"/>
    </row>
    <row r="213">
      <c r="A213" s="24" t="n"/>
      <c r="B213" s="25" t="n"/>
      <c r="C213" s="27" t="n"/>
      <c r="D213" s="26" t="n"/>
      <c r="E213" s="27" t="n"/>
      <c r="F213" s="25" t="n"/>
      <c r="G213" s="27" t="n"/>
      <c r="H213" s="26" t="n"/>
      <c r="I213" s="27" t="n"/>
      <c r="J213" s="27" t="n"/>
      <c r="K213" s="27" t="n"/>
      <c r="L213" s="28" t="n"/>
      <c r="M213" s="27" t="n"/>
      <c r="N213" s="27" t="n"/>
      <c r="O213" s="27">
        <f>IF(AND(M213="",N213=""),"",IF(OR(M213="No Hit",N213="No Hit"),"Loss",IF(AND(M213="Hit",N213="Hit"),"Win","Pending")))</f>
        <v/>
      </c>
      <c r="P213" s="28">
        <f>IF(OR(K213="",L213=""),"",IF(K213&gt;0,L213*(K213/100),L213*(100/(-K213))))</f>
        <v/>
      </c>
      <c r="Q213" s="29">
        <f>IF(O213="Win",P213,IF(O213="Loss",-L213,""))</f>
        <v/>
      </c>
      <c r="R213" s="29">
        <f>IF(Q213="","",SUM($Q$2:Q213))</f>
        <v/>
      </c>
      <c r="S213" s="25" t="n"/>
    </row>
    <row r="214">
      <c r="A214" s="24" t="n"/>
      <c r="B214" s="25" t="n"/>
      <c r="C214" s="27" t="n"/>
      <c r="D214" s="26" t="n"/>
      <c r="E214" s="27" t="n"/>
      <c r="F214" s="25" t="n"/>
      <c r="G214" s="27" t="n"/>
      <c r="H214" s="26" t="n"/>
      <c r="I214" s="27" t="n"/>
      <c r="J214" s="27" t="n"/>
      <c r="K214" s="27" t="n"/>
      <c r="L214" s="28" t="n"/>
      <c r="M214" s="27" t="n"/>
      <c r="N214" s="27" t="n"/>
      <c r="O214" s="27">
        <f>IF(AND(M214="",N214=""),"",IF(OR(M214="No Hit",N214="No Hit"),"Loss",IF(AND(M214="Hit",N214="Hit"),"Win","Pending")))</f>
        <v/>
      </c>
      <c r="P214" s="28">
        <f>IF(OR(K214="",L214=""),"",IF(K214&gt;0,L214*(K214/100),L214*(100/(-K214))))</f>
        <v/>
      </c>
      <c r="Q214" s="29">
        <f>IF(O214="Win",P214,IF(O214="Loss",-L214,""))</f>
        <v/>
      </c>
      <c r="R214" s="29">
        <f>IF(Q214="","",SUM($Q$2:Q214))</f>
        <v/>
      </c>
      <c r="S214" s="25" t="n"/>
    </row>
    <row r="215">
      <c r="A215" s="24" t="n"/>
      <c r="B215" s="25" t="n"/>
      <c r="C215" s="27" t="n"/>
      <c r="D215" s="26" t="n"/>
      <c r="E215" s="27" t="n"/>
      <c r="F215" s="25" t="n"/>
      <c r="G215" s="27" t="n"/>
      <c r="H215" s="26" t="n"/>
      <c r="I215" s="27" t="n"/>
      <c r="J215" s="27" t="n"/>
      <c r="K215" s="27" t="n"/>
      <c r="L215" s="28" t="n"/>
      <c r="M215" s="27" t="n"/>
      <c r="N215" s="27" t="n"/>
      <c r="O215" s="27">
        <f>IF(AND(M215="",N215=""),"",IF(OR(M215="No Hit",N215="No Hit"),"Loss",IF(AND(M215="Hit",N215="Hit"),"Win","Pending")))</f>
        <v/>
      </c>
      <c r="P215" s="28">
        <f>IF(OR(K215="",L215=""),"",IF(K215&gt;0,L215*(K215/100),L215*(100/(-K215))))</f>
        <v/>
      </c>
      <c r="Q215" s="29">
        <f>IF(O215="Win",P215,IF(O215="Loss",-L215,""))</f>
        <v/>
      </c>
      <c r="R215" s="29">
        <f>IF(Q215="","",SUM($Q$2:Q215))</f>
        <v/>
      </c>
      <c r="S215" s="25" t="n"/>
    </row>
    <row r="216">
      <c r="A216" s="24" t="n"/>
      <c r="B216" s="25" t="n"/>
      <c r="C216" s="27" t="n"/>
      <c r="D216" s="26" t="n"/>
      <c r="E216" s="27" t="n"/>
      <c r="F216" s="25" t="n"/>
      <c r="G216" s="27" t="n"/>
      <c r="H216" s="26" t="n"/>
      <c r="I216" s="27" t="n"/>
      <c r="J216" s="27" t="n"/>
      <c r="K216" s="27" t="n"/>
      <c r="L216" s="28" t="n"/>
      <c r="M216" s="27" t="n"/>
      <c r="N216" s="27" t="n"/>
      <c r="O216" s="27">
        <f>IF(AND(M216="",N216=""),"",IF(OR(M216="No Hit",N216="No Hit"),"Loss",IF(AND(M216="Hit",N216="Hit"),"Win","Pending")))</f>
        <v/>
      </c>
      <c r="P216" s="28">
        <f>IF(OR(K216="",L216=""),"",IF(K216&gt;0,L216*(K216/100),L216*(100/(-K216))))</f>
        <v/>
      </c>
      <c r="Q216" s="29">
        <f>IF(O216="Win",P216,IF(O216="Loss",-L216,""))</f>
        <v/>
      </c>
      <c r="R216" s="29">
        <f>IF(Q216="","",SUM($Q$2:Q216))</f>
        <v/>
      </c>
      <c r="S216" s="25" t="n"/>
    </row>
    <row r="217">
      <c r="A217" s="24" t="n"/>
      <c r="B217" s="25" t="n"/>
      <c r="C217" s="27" t="n"/>
      <c r="D217" s="26" t="n"/>
      <c r="E217" s="27" t="n"/>
      <c r="F217" s="25" t="n"/>
      <c r="G217" s="27" t="n"/>
      <c r="H217" s="26" t="n"/>
      <c r="I217" s="27" t="n"/>
      <c r="J217" s="27" t="n"/>
      <c r="K217" s="27" t="n"/>
      <c r="L217" s="28" t="n"/>
      <c r="M217" s="27" t="n"/>
      <c r="N217" s="27" t="n"/>
      <c r="O217" s="27">
        <f>IF(AND(M217="",N217=""),"",IF(OR(M217="No Hit",N217="No Hit"),"Loss",IF(AND(M217="Hit",N217="Hit"),"Win","Pending")))</f>
        <v/>
      </c>
      <c r="P217" s="28">
        <f>IF(OR(K217="",L217=""),"",IF(K217&gt;0,L217*(K217/100),L217*(100/(-K217))))</f>
        <v/>
      </c>
      <c r="Q217" s="29">
        <f>IF(O217="Win",P217,IF(O217="Loss",-L217,""))</f>
        <v/>
      </c>
      <c r="R217" s="29">
        <f>IF(Q217="","",SUM($Q$2:Q217))</f>
        <v/>
      </c>
      <c r="S217" s="25" t="n"/>
    </row>
    <row r="218">
      <c r="A218" s="24" t="n"/>
      <c r="B218" s="25" t="n"/>
      <c r="C218" s="27" t="n"/>
      <c r="D218" s="26" t="n"/>
      <c r="E218" s="27" t="n"/>
      <c r="F218" s="25" t="n"/>
      <c r="G218" s="27" t="n"/>
      <c r="H218" s="26" t="n"/>
      <c r="I218" s="27" t="n"/>
      <c r="J218" s="27" t="n"/>
      <c r="K218" s="27" t="n"/>
      <c r="L218" s="28" t="n"/>
      <c r="M218" s="27" t="n"/>
      <c r="N218" s="27" t="n"/>
      <c r="O218" s="27">
        <f>IF(AND(M218="",N218=""),"",IF(OR(M218="No Hit",N218="No Hit"),"Loss",IF(AND(M218="Hit",N218="Hit"),"Win","Pending")))</f>
        <v/>
      </c>
      <c r="P218" s="28">
        <f>IF(OR(K218="",L218=""),"",IF(K218&gt;0,L218*(K218/100),L218*(100/(-K218))))</f>
        <v/>
      </c>
      <c r="Q218" s="29">
        <f>IF(O218="Win",P218,IF(O218="Loss",-L218,""))</f>
        <v/>
      </c>
      <c r="R218" s="29">
        <f>IF(Q218="","",SUM($Q$2:Q218))</f>
        <v/>
      </c>
      <c r="S218" s="25" t="n"/>
    </row>
    <row r="219">
      <c r="A219" s="24" t="n"/>
      <c r="B219" s="25" t="n"/>
      <c r="C219" s="27" t="n"/>
      <c r="D219" s="26" t="n"/>
      <c r="E219" s="27" t="n"/>
      <c r="F219" s="25" t="n"/>
      <c r="G219" s="27" t="n"/>
      <c r="H219" s="26" t="n"/>
      <c r="I219" s="27" t="n"/>
      <c r="J219" s="27" t="n"/>
      <c r="K219" s="27" t="n"/>
      <c r="L219" s="28" t="n"/>
      <c r="M219" s="27" t="n"/>
      <c r="N219" s="27" t="n"/>
      <c r="O219" s="27">
        <f>IF(AND(M219="",N219=""),"",IF(OR(M219="No Hit",N219="No Hit"),"Loss",IF(AND(M219="Hit",N219="Hit"),"Win","Pending")))</f>
        <v/>
      </c>
      <c r="P219" s="28">
        <f>IF(OR(K219="",L219=""),"",IF(K219&gt;0,L219*(K219/100),L219*(100/(-K219))))</f>
        <v/>
      </c>
      <c r="Q219" s="29">
        <f>IF(O219="Win",P219,IF(O219="Loss",-L219,""))</f>
        <v/>
      </c>
      <c r="R219" s="29">
        <f>IF(Q219="","",SUM($Q$2:Q219))</f>
        <v/>
      </c>
      <c r="S219" s="25" t="n"/>
    </row>
    <row r="220">
      <c r="A220" s="24" t="n"/>
      <c r="B220" s="25" t="n"/>
      <c r="C220" s="27" t="n"/>
      <c r="D220" s="26" t="n"/>
      <c r="E220" s="27" t="n"/>
      <c r="F220" s="25" t="n"/>
      <c r="G220" s="27" t="n"/>
      <c r="H220" s="26" t="n"/>
      <c r="I220" s="27" t="n"/>
      <c r="J220" s="27" t="n"/>
      <c r="K220" s="27" t="n"/>
      <c r="L220" s="28" t="n"/>
      <c r="M220" s="27" t="n"/>
      <c r="N220" s="27" t="n"/>
      <c r="O220" s="27">
        <f>IF(AND(M220="",N220=""),"",IF(OR(M220="No Hit",N220="No Hit"),"Loss",IF(AND(M220="Hit",N220="Hit"),"Win","Pending")))</f>
        <v/>
      </c>
      <c r="P220" s="28">
        <f>IF(OR(K220="",L220=""),"",IF(K220&gt;0,L220*(K220/100),L220*(100/(-K220))))</f>
        <v/>
      </c>
      <c r="Q220" s="29">
        <f>IF(O220="Win",P220,IF(O220="Loss",-L220,""))</f>
        <v/>
      </c>
      <c r="R220" s="29">
        <f>IF(Q220="","",SUM($Q$2:Q220))</f>
        <v/>
      </c>
      <c r="S220" s="25" t="n"/>
    </row>
    <row r="221">
      <c r="A221" s="24" t="n"/>
      <c r="B221" s="25" t="n"/>
      <c r="C221" s="27" t="n"/>
      <c r="D221" s="26" t="n"/>
      <c r="E221" s="27" t="n"/>
      <c r="F221" s="25" t="n"/>
      <c r="G221" s="27" t="n"/>
      <c r="H221" s="26" t="n"/>
      <c r="I221" s="27" t="n"/>
      <c r="J221" s="27" t="n"/>
      <c r="K221" s="27" t="n"/>
      <c r="L221" s="28" t="n"/>
      <c r="M221" s="27" t="n"/>
      <c r="N221" s="27" t="n"/>
      <c r="O221" s="27">
        <f>IF(AND(M221="",N221=""),"",IF(OR(M221="No Hit",N221="No Hit"),"Loss",IF(AND(M221="Hit",N221="Hit"),"Win","Pending")))</f>
        <v/>
      </c>
      <c r="P221" s="28">
        <f>IF(OR(K221="",L221=""),"",IF(K221&gt;0,L221*(K221/100),L221*(100/(-K221))))</f>
        <v/>
      </c>
      <c r="Q221" s="29">
        <f>IF(O221="Win",P221,IF(O221="Loss",-L221,""))</f>
        <v/>
      </c>
      <c r="R221" s="29">
        <f>IF(Q221="","",SUM($Q$2:Q221))</f>
        <v/>
      </c>
      <c r="S221" s="25" t="n"/>
    </row>
    <row r="222">
      <c r="A222" s="24" t="n"/>
      <c r="B222" s="25" t="n"/>
      <c r="C222" s="27" t="n"/>
      <c r="D222" s="26" t="n"/>
      <c r="E222" s="27" t="n"/>
      <c r="F222" s="25" t="n"/>
      <c r="G222" s="27" t="n"/>
      <c r="H222" s="26" t="n"/>
      <c r="I222" s="27" t="n"/>
      <c r="J222" s="27" t="n"/>
      <c r="K222" s="27" t="n"/>
      <c r="L222" s="28" t="n"/>
      <c r="M222" s="27" t="n"/>
      <c r="N222" s="27" t="n"/>
      <c r="O222" s="27">
        <f>IF(AND(M222="",N222=""),"",IF(OR(M222="No Hit",N222="No Hit"),"Loss",IF(AND(M222="Hit",N222="Hit"),"Win","Pending")))</f>
        <v/>
      </c>
      <c r="P222" s="28">
        <f>IF(OR(K222="",L222=""),"",IF(K222&gt;0,L222*(K222/100),L222*(100/(-K222))))</f>
        <v/>
      </c>
      <c r="Q222" s="29">
        <f>IF(O222="Win",P222,IF(O222="Loss",-L222,""))</f>
        <v/>
      </c>
      <c r="R222" s="29">
        <f>IF(Q222="","",SUM($Q$2:Q222))</f>
        <v/>
      </c>
      <c r="S222" s="25" t="n"/>
    </row>
    <row r="223">
      <c r="A223" s="24" t="n"/>
      <c r="B223" s="25" t="n"/>
      <c r="C223" s="27" t="n"/>
      <c r="D223" s="26" t="n"/>
      <c r="E223" s="27" t="n"/>
      <c r="F223" s="25" t="n"/>
      <c r="G223" s="27" t="n"/>
      <c r="H223" s="26" t="n"/>
      <c r="I223" s="27" t="n"/>
      <c r="J223" s="27" t="n"/>
      <c r="K223" s="27" t="n"/>
      <c r="L223" s="28" t="n"/>
      <c r="M223" s="27" t="n"/>
      <c r="N223" s="27" t="n"/>
      <c r="O223" s="27">
        <f>IF(AND(M223="",N223=""),"",IF(OR(M223="No Hit",N223="No Hit"),"Loss",IF(AND(M223="Hit",N223="Hit"),"Win","Pending")))</f>
        <v/>
      </c>
      <c r="P223" s="28">
        <f>IF(OR(K223="",L223=""),"",IF(K223&gt;0,L223*(K223/100),L223*(100/(-K223))))</f>
        <v/>
      </c>
      <c r="Q223" s="29">
        <f>IF(O223="Win",P223,IF(O223="Loss",-L223,""))</f>
        <v/>
      </c>
      <c r="R223" s="29">
        <f>IF(Q223="","",SUM($Q$2:Q223))</f>
        <v/>
      </c>
      <c r="S223" s="25" t="n"/>
    </row>
    <row r="224">
      <c r="A224" s="24" t="n"/>
      <c r="B224" s="25" t="n"/>
      <c r="C224" s="27" t="n"/>
      <c r="D224" s="26" t="n"/>
      <c r="E224" s="27" t="n"/>
      <c r="F224" s="25" t="n"/>
      <c r="G224" s="27" t="n"/>
      <c r="H224" s="26" t="n"/>
      <c r="I224" s="27" t="n"/>
      <c r="J224" s="27" t="n"/>
      <c r="K224" s="27" t="n"/>
      <c r="L224" s="28" t="n"/>
      <c r="M224" s="27" t="n"/>
      <c r="N224" s="27" t="n"/>
      <c r="O224" s="27">
        <f>IF(AND(M224="",N224=""),"",IF(OR(M224="No Hit",N224="No Hit"),"Loss",IF(AND(M224="Hit",N224="Hit"),"Win","Pending")))</f>
        <v/>
      </c>
      <c r="P224" s="28">
        <f>IF(OR(K224="",L224=""),"",IF(K224&gt;0,L224*(K224/100),L224*(100/(-K224))))</f>
        <v/>
      </c>
      <c r="Q224" s="29">
        <f>IF(O224="Win",P224,IF(O224="Loss",-L224,""))</f>
        <v/>
      </c>
      <c r="R224" s="29">
        <f>IF(Q224="","",SUM($Q$2:Q224))</f>
        <v/>
      </c>
      <c r="S224" s="25" t="n"/>
    </row>
    <row r="225">
      <c r="A225" s="24" t="n"/>
      <c r="B225" s="25" t="n"/>
      <c r="C225" s="27" t="n"/>
      <c r="D225" s="26" t="n"/>
      <c r="E225" s="27" t="n"/>
      <c r="F225" s="25" t="n"/>
      <c r="G225" s="27" t="n"/>
      <c r="H225" s="26" t="n"/>
      <c r="I225" s="27" t="n"/>
      <c r="J225" s="27" t="n"/>
      <c r="K225" s="27" t="n"/>
      <c r="L225" s="28" t="n"/>
      <c r="M225" s="27" t="n"/>
      <c r="N225" s="27" t="n"/>
      <c r="O225" s="27">
        <f>IF(AND(M225="",N225=""),"",IF(OR(M225="No Hit",N225="No Hit"),"Loss",IF(AND(M225="Hit",N225="Hit"),"Win","Pending")))</f>
        <v/>
      </c>
      <c r="P225" s="28">
        <f>IF(OR(K225="",L225=""),"",IF(K225&gt;0,L225*(K225/100),L225*(100/(-K225))))</f>
        <v/>
      </c>
      <c r="Q225" s="29">
        <f>IF(O225="Win",P225,IF(O225="Loss",-L225,""))</f>
        <v/>
      </c>
      <c r="R225" s="29">
        <f>IF(Q225="","",SUM($Q$2:Q225))</f>
        <v/>
      </c>
      <c r="S225" s="25" t="n"/>
    </row>
    <row r="226">
      <c r="A226" s="24" t="n"/>
      <c r="B226" s="25" t="n"/>
      <c r="C226" s="27" t="n"/>
      <c r="D226" s="26" t="n"/>
      <c r="E226" s="27" t="n"/>
      <c r="F226" s="25" t="n"/>
      <c r="G226" s="27" t="n"/>
      <c r="H226" s="26" t="n"/>
      <c r="I226" s="27" t="n"/>
      <c r="J226" s="27" t="n"/>
      <c r="K226" s="27" t="n"/>
      <c r="L226" s="28" t="n"/>
      <c r="M226" s="27" t="n"/>
      <c r="N226" s="27" t="n"/>
      <c r="O226" s="27">
        <f>IF(AND(M226="",N226=""),"",IF(OR(M226="No Hit",N226="No Hit"),"Loss",IF(AND(M226="Hit",N226="Hit"),"Win","Pending")))</f>
        <v/>
      </c>
      <c r="P226" s="28">
        <f>IF(OR(K226="",L226=""),"",IF(K226&gt;0,L226*(K226/100),L226*(100/(-K226))))</f>
        <v/>
      </c>
      <c r="Q226" s="29">
        <f>IF(O226="Win",P226,IF(O226="Loss",-L226,""))</f>
        <v/>
      </c>
      <c r="R226" s="29">
        <f>IF(Q226="","",SUM($Q$2:Q226))</f>
        <v/>
      </c>
      <c r="S226" s="25" t="n"/>
    </row>
    <row r="227">
      <c r="A227" s="24" t="n"/>
      <c r="B227" s="25" t="n"/>
      <c r="C227" s="27" t="n"/>
      <c r="D227" s="26" t="n"/>
      <c r="E227" s="27" t="n"/>
      <c r="F227" s="25" t="n"/>
      <c r="G227" s="27" t="n"/>
      <c r="H227" s="26" t="n"/>
      <c r="I227" s="27" t="n"/>
      <c r="J227" s="27" t="n"/>
      <c r="K227" s="27" t="n"/>
      <c r="L227" s="28" t="n"/>
      <c r="M227" s="27" t="n"/>
      <c r="N227" s="27" t="n"/>
      <c r="O227" s="27">
        <f>IF(AND(M227="",N227=""),"",IF(OR(M227="No Hit",N227="No Hit"),"Loss",IF(AND(M227="Hit",N227="Hit"),"Win","Pending")))</f>
        <v/>
      </c>
      <c r="P227" s="28">
        <f>IF(OR(K227="",L227=""),"",IF(K227&gt;0,L227*(K227/100),L227*(100/(-K227))))</f>
        <v/>
      </c>
      <c r="Q227" s="29">
        <f>IF(O227="Win",P227,IF(O227="Loss",-L227,""))</f>
        <v/>
      </c>
      <c r="R227" s="29">
        <f>IF(Q227="","",SUM($Q$2:Q227))</f>
        <v/>
      </c>
      <c r="S227" s="25" t="n"/>
    </row>
    <row r="228">
      <c r="A228" s="24" t="n"/>
      <c r="B228" s="25" t="n"/>
      <c r="C228" s="27" t="n"/>
      <c r="D228" s="26" t="n"/>
      <c r="E228" s="27" t="n"/>
      <c r="F228" s="25" t="n"/>
      <c r="G228" s="27" t="n"/>
      <c r="H228" s="26" t="n"/>
      <c r="I228" s="27" t="n"/>
      <c r="J228" s="27" t="n"/>
      <c r="K228" s="27" t="n"/>
      <c r="L228" s="28" t="n"/>
      <c r="M228" s="27" t="n"/>
      <c r="N228" s="27" t="n"/>
      <c r="O228" s="27">
        <f>IF(AND(M228="",N228=""),"",IF(OR(M228="No Hit",N228="No Hit"),"Loss",IF(AND(M228="Hit",N228="Hit"),"Win","Pending")))</f>
        <v/>
      </c>
      <c r="P228" s="28">
        <f>IF(OR(K228="",L228=""),"",IF(K228&gt;0,L228*(K228/100),L228*(100/(-K228))))</f>
        <v/>
      </c>
      <c r="Q228" s="29">
        <f>IF(O228="Win",P228,IF(O228="Loss",-L228,""))</f>
        <v/>
      </c>
      <c r="R228" s="29">
        <f>IF(Q228="","",SUM($Q$2:Q228))</f>
        <v/>
      </c>
      <c r="S228" s="25" t="n"/>
    </row>
    <row r="229">
      <c r="A229" s="24" t="n"/>
      <c r="B229" s="25" t="n"/>
      <c r="C229" s="27" t="n"/>
      <c r="D229" s="26" t="n"/>
      <c r="E229" s="27" t="n"/>
      <c r="F229" s="25" t="n"/>
      <c r="G229" s="27" t="n"/>
      <c r="H229" s="26" t="n"/>
      <c r="I229" s="27" t="n"/>
      <c r="J229" s="27" t="n"/>
      <c r="K229" s="27" t="n"/>
      <c r="L229" s="28" t="n"/>
      <c r="M229" s="27" t="n"/>
      <c r="N229" s="27" t="n"/>
      <c r="O229" s="27">
        <f>IF(AND(M229="",N229=""),"",IF(OR(M229="No Hit",N229="No Hit"),"Loss",IF(AND(M229="Hit",N229="Hit"),"Win","Pending")))</f>
        <v/>
      </c>
      <c r="P229" s="28">
        <f>IF(OR(K229="",L229=""),"",IF(K229&gt;0,L229*(K229/100),L229*(100/(-K229))))</f>
        <v/>
      </c>
      <c r="Q229" s="29">
        <f>IF(O229="Win",P229,IF(O229="Loss",-L229,""))</f>
        <v/>
      </c>
      <c r="R229" s="29">
        <f>IF(Q229="","",SUM($Q$2:Q229))</f>
        <v/>
      </c>
      <c r="S229" s="25" t="n"/>
    </row>
    <row r="230">
      <c r="A230" s="24" t="n"/>
      <c r="B230" s="25" t="n"/>
      <c r="C230" s="27" t="n"/>
      <c r="D230" s="26" t="n"/>
      <c r="E230" s="27" t="n"/>
      <c r="F230" s="25" t="n"/>
      <c r="G230" s="27" t="n"/>
      <c r="H230" s="26" t="n"/>
      <c r="I230" s="27" t="n"/>
      <c r="J230" s="27" t="n"/>
      <c r="K230" s="27" t="n"/>
      <c r="L230" s="28" t="n"/>
      <c r="M230" s="27" t="n"/>
      <c r="N230" s="27" t="n"/>
      <c r="O230" s="27">
        <f>IF(AND(M230="",N230=""),"",IF(OR(M230="No Hit",N230="No Hit"),"Loss",IF(AND(M230="Hit",N230="Hit"),"Win","Pending")))</f>
        <v/>
      </c>
      <c r="P230" s="28">
        <f>IF(OR(K230="",L230=""),"",IF(K230&gt;0,L230*(K230/100),L230*(100/(-K230))))</f>
        <v/>
      </c>
      <c r="Q230" s="29">
        <f>IF(O230="Win",P230,IF(O230="Loss",-L230,""))</f>
        <v/>
      </c>
      <c r="R230" s="29">
        <f>IF(Q230="","",SUM($Q$2:Q230))</f>
        <v/>
      </c>
      <c r="S230" s="25" t="n"/>
    </row>
    <row r="231">
      <c r="A231" s="24" t="n"/>
      <c r="B231" s="25" t="n"/>
      <c r="C231" s="27" t="n"/>
      <c r="D231" s="26" t="n"/>
      <c r="E231" s="27" t="n"/>
      <c r="F231" s="25" t="n"/>
      <c r="G231" s="27" t="n"/>
      <c r="H231" s="26" t="n"/>
      <c r="I231" s="27" t="n"/>
      <c r="J231" s="27" t="n"/>
      <c r="K231" s="27" t="n"/>
      <c r="L231" s="28" t="n"/>
      <c r="M231" s="27" t="n"/>
      <c r="N231" s="27" t="n"/>
      <c r="O231" s="27">
        <f>IF(AND(M231="",N231=""),"",IF(OR(M231="No Hit",N231="No Hit"),"Loss",IF(AND(M231="Hit",N231="Hit"),"Win","Pending")))</f>
        <v/>
      </c>
      <c r="P231" s="28">
        <f>IF(OR(K231="",L231=""),"",IF(K231&gt;0,L231*(K231/100),L231*(100/(-K231))))</f>
        <v/>
      </c>
      <c r="Q231" s="29">
        <f>IF(O231="Win",P231,IF(O231="Loss",-L231,""))</f>
        <v/>
      </c>
      <c r="R231" s="29">
        <f>IF(Q231="","",SUM($Q$2:Q231))</f>
        <v/>
      </c>
      <c r="S231" s="25" t="n"/>
    </row>
    <row r="232">
      <c r="A232" s="24" t="n"/>
      <c r="B232" s="25" t="n"/>
      <c r="C232" s="27" t="n"/>
      <c r="D232" s="26" t="n"/>
      <c r="E232" s="27" t="n"/>
      <c r="F232" s="25" t="n"/>
      <c r="G232" s="27" t="n"/>
      <c r="H232" s="26" t="n"/>
      <c r="I232" s="27" t="n"/>
      <c r="J232" s="27" t="n"/>
      <c r="K232" s="27" t="n"/>
      <c r="L232" s="28" t="n"/>
      <c r="M232" s="27" t="n"/>
      <c r="N232" s="27" t="n"/>
      <c r="O232" s="27">
        <f>IF(AND(M232="",N232=""),"",IF(OR(M232="No Hit",N232="No Hit"),"Loss",IF(AND(M232="Hit",N232="Hit"),"Win","Pending")))</f>
        <v/>
      </c>
      <c r="P232" s="28">
        <f>IF(OR(K232="",L232=""),"",IF(K232&gt;0,L232*(K232/100),L232*(100/(-K232))))</f>
        <v/>
      </c>
      <c r="Q232" s="29">
        <f>IF(O232="Win",P232,IF(O232="Loss",-L232,""))</f>
        <v/>
      </c>
      <c r="R232" s="29">
        <f>IF(Q232="","",SUM($Q$2:Q232))</f>
        <v/>
      </c>
      <c r="S232" s="25" t="n"/>
    </row>
    <row r="233">
      <c r="A233" s="24" t="n"/>
      <c r="B233" s="25" t="n"/>
      <c r="C233" s="27" t="n"/>
      <c r="D233" s="26" t="n"/>
      <c r="E233" s="27" t="n"/>
      <c r="F233" s="25" t="n"/>
      <c r="G233" s="27" t="n"/>
      <c r="H233" s="26" t="n"/>
      <c r="I233" s="27" t="n"/>
      <c r="J233" s="27" t="n"/>
      <c r="K233" s="27" t="n"/>
      <c r="L233" s="28" t="n"/>
      <c r="M233" s="27" t="n"/>
      <c r="N233" s="27" t="n"/>
      <c r="O233" s="27">
        <f>IF(AND(M233="",N233=""),"",IF(OR(M233="No Hit",N233="No Hit"),"Loss",IF(AND(M233="Hit",N233="Hit"),"Win","Pending")))</f>
        <v/>
      </c>
      <c r="P233" s="28">
        <f>IF(OR(K233="",L233=""),"",IF(K233&gt;0,L233*(K233/100),L233*(100/(-K233))))</f>
        <v/>
      </c>
      <c r="Q233" s="29">
        <f>IF(O233="Win",P233,IF(O233="Loss",-L233,""))</f>
        <v/>
      </c>
      <c r="R233" s="29">
        <f>IF(Q233="","",SUM($Q$2:Q233))</f>
        <v/>
      </c>
      <c r="S233" s="25" t="n"/>
    </row>
    <row r="234">
      <c r="A234" s="24" t="n"/>
      <c r="B234" s="25" t="n"/>
      <c r="C234" s="27" t="n"/>
      <c r="D234" s="26" t="n"/>
      <c r="E234" s="27" t="n"/>
      <c r="F234" s="25" t="n"/>
      <c r="G234" s="27" t="n"/>
      <c r="H234" s="26" t="n"/>
      <c r="I234" s="27" t="n"/>
      <c r="J234" s="27" t="n"/>
      <c r="K234" s="27" t="n"/>
      <c r="L234" s="28" t="n"/>
      <c r="M234" s="27" t="n"/>
      <c r="N234" s="27" t="n"/>
      <c r="O234" s="27">
        <f>IF(AND(M234="",N234=""),"",IF(OR(M234="No Hit",N234="No Hit"),"Loss",IF(AND(M234="Hit",N234="Hit"),"Win","Pending")))</f>
        <v/>
      </c>
      <c r="P234" s="28">
        <f>IF(OR(K234="",L234=""),"",IF(K234&gt;0,L234*(K234/100),L234*(100/(-K234))))</f>
        <v/>
      </c>
      <c r="Q234" s="29">
        <f>IF(O234="Win",P234,IF(O234="Loss",-L234,""))</f>
        <v/>
      </c>
      <c r="R234" s="29">
        <f>IF(Q234="","",SUM($Q$2:Q234))</f>
        <v/>
      </c>
      <c r="S234" s="25" t="n"/>
    </row>
    <row r="235">
      <c r="A235" s="24" t="n"/>
      <c r="B235" s="25" t="n"/>
      <c r="C235" s="27" t="n"/>
      <c r="D235" s="26" t="n"/>
      <c r="E235" s="27" t="n"/>
      <c r="F235" s="25" t="n"/>
      <c r="G235" s="27" t="n"/>
      <c r="H235" s="26" t="n"/>
      <c r="I235" s="27" t="n"/>
      <c r="J235" s="27" t="n"/>
      <c r="K235" s="27" t="n"/>
      <c r="L235" s="28" t="n"/>
      <c r="M235" s="27" t="n"/>
      <c r="N235" s="27" t="n"/>
      <c r="O235" s="27">
        <f>IF(AND(M235="",N235=""),"",IF(OR(M235="No Hit",N235="No Hit"),"Loss",IF(AND(M235="Hit",N235="Hit"),"Win","Pending")))</f>
        <v/>
      </c>
      <c r="P235" s="28">
        <f>IF(OR(K235="",L235=""),"",IF(K235&gt;0,L235*(K235/100),L235*(100/(-K235))))</f>
        <v/>
      </c>
      <c r="Q235" s="29">
        <f>IF(O235="Win",P235,IF(O235="Loss",-L235,""))</f>
        <v/>
      </c>
      <c r="R235" s="29">
        <f>IF(Q235="","",SUM($Q$2:Q235))</f>
        <v/>
      </c>
      <c r="S235" s="25" t="n"/>
    </row>
    <row r="236">
      <c r="A236" s="24" t="n"/>
      <c r="B236" s="25" t="n"/>
      <c r="C236" s="27" t="n"/>
      <c r="D236" s="26" t="n"/>
      <c r="E236" s="27" t="n"/>
      <c r="F236" s="25" t="n"/>
      <c r="G236" s="27" t="n"/>
      <c r="H236" s="26" t="n"/>
      <c r="I236" s="27" t="n"/>
      <c r="J236" s="27" t="n"/>
      <c r="K236" s="27" t="n"/>
      <c r="L236" s="28" t="n"/>
      <c r="M236" s="27" t="n"/>
      <c r="N236" s="27" t="n"/>
      <c r="O236" s="27">
        <f>IF(AND(M236="",N236=""),"",IF(OR(M236="No Hit",N236="No Hit"),"Loss",IF(AND(M236="Hit",N236="Hit"),"Win","Pending")))</f>
        <v/>
      </c>
      <c r="P236" s="28">
        <f>IF(OR(K236="",L236=""),"",IF(K236&gt;0,L236*(K236/100),L236*(100/(-K236))))</f>
        <v/>
      </c>
      <c r="Q236" s="29">
        <f>IF(O236="Win",P236,IF(O236="Loss",-L236,""))</f>
        <v/>
      </c>
      <c r="R236" s="29">
        <f>IF(Q236="","",SUM($Q$2:Q236))</f>
        <v/>
      </c>
      <c r="S236" s="25" t="n"/>
    </row>
    <row r="237">
      <c r="A237" s="24" t="n"/>
      <c r="B237" s="25" t="n"/>
      <c r="C237" s="27" t="n"/>
      <c r="D237" s="26" t="n"/>
      <c r="E237" s="27" t="n"/>
      <c r="F237" s="25" t="n"/>
      <c r="G237" s="27" t="n"/>
      <c r="H237" s="26" t="n"/>
      <c r="I237" s="27" t="n"/>
      <c r="J237" s="27" t="n"/>
      <c r="K237" s="27" t="n"/>
      <c r="L237" s="28" t="n"/>
      <c r="M237" s="27" t="n"/>
      <c r="N237" s="27" t="n"/>
      <c r="O237" s="27">
        <f>IF(AND(M237="",N237=""),"",IF(OR(M237="No Hit",N237="No Hit"),"Loss",IF(AND(M237="Hit",N237="Hit"),"Win","Pending")))</f>
        <v/>
      </c>
      <c r="P237" s="28">
        <f>IF(OR(K237="",L237=""),"",IF(K237&gt;0,L237*(K237/100),L237*(100/(-K237))))</f>
        <v/>
      </c>
      <c r="Q237" s="29">
        <f>IF(O237="Win",P237,IF(O237="Loss",-L237,""))</f>
        <v/>
      </c>
      <c r="R237" s="29">
        <f>IF(Q237="","",SUM($Q$2:Q237))</f>
        <v/>
      </c>
      <c r="S237" s="25" t="n"/>
    </row>
    <row r="238">
      <c r="A238" s="24" t="n"/>
      <c r="B238" s="25" t="n"/>
      <c r="C238" s="27" t="n"/>
      <c r="D238" s="26" t="n"/>
      <c r="E238" s="27" t="n"/>
      <c r="F238" s="25" t="n"/>
      <c r="G238" s="27" t="n"/>
      <c r="H238" s="26" t="n"/>
      <c r="I238" s="27" t="n"/>
      <c r="J238" s="27" t="n"/>
      <c r="K238" s="27" t="n"/>
      <c r="L238" s="28" t="n"/>
      <c r="M238" s="27" t="n"/>
      <c r="N238" s="27" t="n"/>
      <c r="O238" s="27">
        <f>IF(AND(M238="",N238=""),"",IF(OR(M238="No Hit",N238="No Hit"),"Loss",IF(AND(M238="Hit",N238="Hit"),"Win","Pending")))</f>
        <v/>
      </c>
      <c r="P238" s="28">
        <f>IF(OR(K238="",L238=""),"",IF(K238&gt;0,L238*(K238/100),L238*(100/(-K238))))</f>
        <v/>
      </c>
      <c r="Q238" s="29">
        <f>IF(O238="Win",P238,IF(O238="Loss",-L238,""))</f>
        <v/>
      </c>
      <c r="R238" s="29">
        <f>IF(Q238="","",SUM($Q$2:Q238))</f>
        <v/>
      </c>
      <c r="S238" s="25" t="n"/>
    </row>
    <row r="239">
      <c r="A239" s="24" t="n"/>
      <c r="B239" s="25" t="n"/>
      <c r="C239" s="27" t="n"/>
      <c r="D239" s="26" t="n"/>
      <c r="E239" s="27" t="n"/>
      <c r="F239" s="25" t="n"/>
      <c r="G239" s="27" t="n"/>
      <c r="H239" s="26" t="n"/>
      <c r="I239" s="27" t="n"/>
      <c r="J239" s="27" t="n"/>
      <c r="K239" s="27" t="n"/>
      <c r="L239" s="28" t="n"/>
      <c r="M239" s="27" t="n"/>
      <c r="N239" s="27" t="n"/>
      <c r="O239" s="27">
        <f>IF(AND(M239="",N239=""),"",IF(OR(M239="No Hit",N239="No Hit"),"Loss",IF(AND(M239="Hit",N239="Hit"),"Win","Pending")))</f>
        <v/>
      </c>
      <c r="P239" s="28">
        <f>IF(OR(K239="",L239=""),"",IF(K239&gt;0,L239*(K239/100),L239*(100/(-K239))))</f>
        <v/>
      </c>
      <c r="Q239" s="29">
        <f>IF(O239="Win",P239,IF(O239="Loss",-L239,""))</f>
        <v/>
      </c>
      <c r="R239" s="29">
        <f>IF(Q239="","",SUM($Q$2:Q239))</f>
        <v/>
      </c>
      <c r="S239" s="25" t="n"/>
    </row>
    <row r="240">
      <c r="A240" s="24" t="n"/>
      <c r="B240" s="25" t="n"/>
      <c r="C240" s="27" t="n"/>
      <c r="D240" s="26" t="n"/>
      <c r="E240" s="27" t="n"/>
      <c r="F240" s="25" t="n"/>
      <c r="G240" s="27" t="n"/>
      <c r="H240" s="26" t="n"/>
      <c r="I240" s="27" t="n"/>
      <c r="J240" s="27" t="n"/>
      <c r="K240" s="27" t="n"/>
      <c r="L240" s="28" t="n"/>
      <c r="M240" s="27" t="n"/>
      <c r="N240" s="27" t="n"/>
      <c r="O240" s="27">
        <f>IF(AND(M240="",N240=""),"",IF(OR(M240="No Hit",N240="No Hit"),"Loss",IF(AND(M240="Hit",N240="Hit"),"Win","Pending")))</f>
        <v/>
      </c>
      <c r="P240" s="28">
        <f>IF(OR(K240="",L240=""),"",IF(K240&gt;0,L240*(K240/100),L240*(100/(-K240))))</f>
        <v/>
      </c>
      <c r="Q240" s="29">
        <f>IF(O240="Win",P240,IF(O240="Loss",-L240,""))</f>
        <v/>
      </c>
      <c r="R240" s="29">
        <f>IF(Q240="","",SUM($Q$2:Q240))</f>
        <v/>
      </c>
      <c r="S240" s="25" t="n"/>
    </row>
    <row r="241">
      <c r="A241" s="24" t="n"/>
      <c r="B241" s="25" t="n"/>
      <c r="C241" s="27" t="n"/>
      <c r="D241" s="26" t="n"/>
      <c r="E241" s="27" t="n"/>
      <c r="F241" s="25" t="n"/>
      <c r="G241" s="27" t="n"/>
      <c r="H241" s="26" t="n"/>
      <c r="I241" s="27" t="n"/>
      <c r="J241" s="27" t="n"/>
      <c r="K241" s="27" t="n"/>
      <c r="L241" s="28" t="n"/>
      <c r="M241" s="27" t="n"/>
      <c r="N241" s="27" t="n"/>
      <c r="O241" s="27">
        <f>IF(AND(M241="",N241=""),"",IF(OR(M241="No Hit",N241="No Hit"),"Loss",IF(AND(M241="Hit",N241="Hit"),"Win","Pending")))</f>
        <v/>
      </c>
      <c r="P241" s="28">
        <f>IF(OR(K241="",L241=""),"",IF(K241&gt;0,L241*(K241/100),L241*(100/(-K241))))</f>
        <v/>
      </c>
      <c r="Q241" s="29">
        <f>IF(O241="Win",P241,IF(O241="Loss",-L241,""))</f>
        <v/>
      </c>
      <c r="R241" s="29">
        <f>IF(Q241="","",SUM($Q$2:Q241))</f>
        <v/>
      </c>
      <c r="S241" s="25" t="n"/>
    </row>
    <row r="242">
      <c r="A242" s="24" t="n"/>
      <c r="B242" s="25" t="n"/>
      <c r="C242" s="27" t="n"/>
      <c r="D242" s="26" t="n"/>
      <c r="E242" s="27" t="n"/>
      <c r="F242" s="25" t="n"/>
      <c r="G242" s="27" t="n"/>
      <c r="H242" s="26" t="n"/>
      <c r="I242" s="27" t="n"/>
      <c r="J242" s="27" t="n"/>
      <c r="K242" s="27" t="n"/>
      <c r="L242" s="28" t="n"/>
      <c r="M242" s="27" t="n"/>
      <c r="N242" s="27" t="n"/>
      <c r="O242" s="27">
        <f>IF(AND(M242="",N242=""),"",IF(OR(M242="No Hit",N242="No Hit"),"Loss",IF(AND(M242="Hit",N242="Hit"),"Win","Pending")))</f>
        <v/>
      </c>
      <c r="P242" s="28">
        <f>IF(OR(K242="",L242=""),"",IF(K242&gt;0,L242*(K242/100),L242*(100/(-K242))))</f>
        <v/>
      </c>
      <c r="Q242" s="29">
        <f>IF(O242="Win",P242,IF(O242="Loss",-L242,""))</f>
        <v/>
      </c>
      <c r="R242" s="29">
        <f>IF(Q242="","",SUM($Q$2:Q242))</f>
        <v/>
      </c>
      <c r="S242" s="25" t="n"/>
    </row>
    <row r="243">
      <c r="A243" s="24" t="n"/>
      <c r="B243" s="25" t="n"/>
      <c r="C243" s="27" t="n"/>
      <c r="D243" s="26" t="n"/>
      <c r="E243" s="27" t="n"/>
      <c r="F243" s="25" t="n"/>
      <c r="G243" s="27" t="n"/>
      <c r="H243" s="26" t="n"/>
      <c r="I243" s="27" t="n"/>
      <c r="J243" s="27" t="n"/>
      <c r="K243" s="27" t="n"/>
      <c r="L243" s="28" t="n"/>
      <c r="M243" s="27" t="n"/>
      <c r="N243" s="27" t="n"/>
      <c r="O243" s="27">
        <f>IF(AND(M243="",N243=""),"",IF(OR(M243="No Hit",N243="No Hit"),"Loss",IF(AND(M243="Hit",N243="Hit"),"Win","Pending")))</f>
        <v/>
      </c>
      <c r="P243" s="28">
        <f>IF(OR(K243="",L243=""),"",IF(K243&gt;0,L243*(K243/100),L243*(100/(-K243))))</f>
        <v/>
      </c>
      <c r="Q243" s="29">
        <f>IF(O243="Win",P243,IF(O243="Loss",-L243,""))</f>
        <v/>
      </c>
      <c r="R243" s="29">
        <f>IF(Q243="","",SUM($Q$2:Q243))</f>
        <v/>
      </c>
      <c r="S243" s="25" t="n"/>
    </row>
    <row r="244">
      <c r="A244" s="24" t="n"/>
      <c r="B244" s="25" t="n"/>
      <c r="C244" s="27" t="n"/>
      <c r="D244" s="26" t="n"/>
      <c r="E244" s="27" t="n"/>
      <c r="F244" s="25" t="n"/>
      <c r="G244" s="27" t="n"/>
      <c r="H244" s="26" t="n"/>
      <c r="I244" s="27" t="n"/>
      <c r="J244" s="27" t="n"/>
      <c r="K244" s="27" t="n"/>
      <c r="L244" s="28" t="n"/>
      <c r="M244" s="27" t="n"/>
      <c r="N244" s="27" t="n"/>
      <c r="O244" s="27">
        <f>IF(AND(M244="",N244=""),"",IF(OR(M244="No Hit",N244="No Hit"),"Loss",IF(AND(M244="Hit",N244="Hit"),"Win","Pending")))</f>
        <v/>
      </c>
      <c r="P244" s="28">
        <f>IF(OR(K244="",L244=""),"",IF(K244&gt;0,L244*(K244/100),L244*(100/(-K244))))</f>
        <v/>
      </c>
      <c r="Q244" s="29">
        <f>IF(O244="Win",P244,IF(O244="Loss",-L244,""))</f>
        <v/>
      </c>
      <c r="R244" s="29">
        <f>IF(Q244="","",SUM($Q$2:Q244))</f>
        <v/>
      </c>
      <c r="S244" s="25" t="n"/>
    </row>
    <row r="245">
      <c r="A245" s="24" t="n"/>
      <c r="B245" s="25" t="n"/>
      <c r="C245" s="27" t="n"/>
      <c r="D245" s="26" t="n"/>
      <c r="E245" s="27" t="n"/>
      <c r="F245" s="25" t="n"/>
      <c r="G245" s="27" t="n"/>
      <c r="H245" s="26" t="n"/>
      <c r="I245" s="27" t="n"/>
      <c r="J245" s="27" t="n"/>
      <c r="K245" s="27" t="n"/>
      <c r="L245" s="28" t="n"/>
      <c r="M245" s="27" t="n"/>
      <c r="N245" s="27" t="n"/>
      <c r="O245" s="27">
        <f>IF(AND(M245="",N245=""),"",IF(OR(M245="No Hit",N245="No Hit"),"Loss",IF(AND(M245="Hit",N245="Hit"),"Win","Pending")))</f>
        <v/>
      </c>
      <c r="P245" s="28">
        <f>IF(OR(K245="",L245=""),"",IF(K245&gt;0,L245*(K245/100),L245*(100/(-K245))))</f>
        <v/>
      </c>
      <c r="Q245" s="29">
        <f>IF(O245="Win",P245,IF(O245="Loss",-L245,""))</f>
        <v/>
      </c>
      <c r="R245" s="29">
        <f>IF(Q245="","",SUM($Q$2:Q245))</f>
        <v/>
      </c>
      <c r="S245" s="25" t="n"/>
    </row>
    <row r="246">
      <c r="A246" s="24" t="n"/>
      <c r="B246" s="25" t="n"/>
      <c r="C246" s="27" t="n"/>
      <c r="D246" s="26" t="n"/>
      <c r="E246" s="27" t="n"/>
      <c r="F246" s="25" t="n"/>
      <c r="G246" s="27" t="n"/>
      <c r="H246" s="26" t="n"/>
      <c r="I246" s="27" t="n"/>
      <c r="J246" s="27" t="n"/>
      <c r="K246" s="27" t="n"/>
      <c r="L246" s="28" t="n"/>
      <c r="M246" s="27" t="n"/>
      <c r="N246" s="27" t="n"/>
      <c r="O246" s="27">
        <f>IF(AND(M246="",N246=""),"",IF(OR(M246="No Hit",N246="No Hit"),"Loss",IF(AND(M246="Hit",N246="Hit"),"Win","Pending")))</f>
        <v/>
      </c>
      <c r="P246" s="28">
        <f>IF(OR(K246="",L246=""),"",IF(K246&gt;0,L246*(K246/100),L246*(100/(-K246))))</f>
        <v/>
      </c>
      <c r="Q246" s="29">
        <f>IF(O246="Win",P246,IF(O246="Loss",-L246,""))</f>
        <v/>
      </c>
      <c r="R246" s="29">
        <f>IF(Q246="","",SUM($Q$2:Q246))</f>
        <v/>
      </c>
      <c r="S246" s="25" t="n"/>
    </row>
    <row r="247">
      <c r="A247" s="24" t="n"/>
      <c r="B247" s="25" t="n"/>
      <c r="C247" s="27" t="n"/>
      <c r="D247" s="26" t="n"/>
      <c r="E247" s="27" t="n"/>
      <c r="F247" s="25" t="n"/>
      <c r="G247" s="27" t="n"/>
      <c r="H247" s="26" t="n"/>
      <c r="I247" s="27" t="n"/>
      <c r="J247" s="27" t="n"/>
      <c r="K247" s="27" t="n"/>
      <c r="L247" s="28" t="n"/>
      <c r="M247" s="27" t="n"/>
      <c r="N247" s="27" t="n"/>
      <c r="O247" s="27">
        <f>IF(AND(M247="",N247=""),"",IF(OR(M247="No Hit",N247="No Hit"),"Loss",IF(AND(M247="Hit",N247="Hit"),"Win","Pending")))</f>
        <v/>
      </c>
      <c r="P247" s="28">
        <f>IF(OR(K247="",L247=""),"",IF(K247&gt;0,L247*(K247/100),L247*(100/(-K247))))</f>
        <v/>
      </c>
      <c r="Q247" s="29">
        <f>IF(O247="Win",P247,IF(O247="Loss",-L247,""))</f>
        <v/>
      </c>
      <c r="R247" s="29">
        <f>IF(Q247="","",SUM($Q$2:Q247))</f>
        <v/>
      </c>
      <c r="S247" s="25" t="n"/>
    </row>
    <row r="248">
      <c r="A248" s="24" t="n"/>
      <c r="B248" s="25" t="n"/>
      <c r="C248" s="27" t="n"/>
      <c r="D248" s="26" t="n"/>
      <c r="E248" s="27" t="n"/>
      <c r="F248" s="25" t="n"/>
      <c r="G248" s="27" t="n"/>
      <c r="H248" s="26" t="n"/>
      <c r="I248" s="27" t="n"/>
      <c r="J248" s="27" t="n"/>
      <c r="K248" s="27" t="n"/>
      <c r="L248" s="28" t="n"/>
      <c r="M248" s="27" t="n"/>
      <c r="N248" s="27" t="n"/>
      <c r="O248" s="27">
        <f>IF(AND(M248="",N248=""),"",IF(OR(M248="No Hit",N248="No Hit"),"Loss",IF(AND(M248="Hit",N248="Hit"),"Win","Pending")))</f>
        <v/>
      </c>
      <c r="P248" s="28">
        <f>IF(OR(K248="",L248=""),"",IF(K248&gt;0,L248*(K248/100),L248*(100/(-K248))))</f>
        <v/>
      </c>
      <c r="Q248" s="29">
        <f>IF(O248="Win",P248,IF(O248="Loss",-L248,""))</f>
        <v/>
      </c>
      <c r="R248" s="29">
        <f>IF(Q248="","",SUM($Q$2:Q248))</f>
        <v/>
      </c>
      <c r="S248" s="25" t="n"/>
    </row>
    <row r="249">
      <c r="A249" s="24" t="n"/>
      <c r="B249" s="25" t="n"/>
      <c r="C249" s="27" t="n"/>
      <c r="D249" s="26" t="n"/>
      <c r="E249" s="27" t="n"/>
      <c r="F249" s="25" t="n"/>
      <c r="G249" s="27" t="n"/>
      <c r="H249" s="26" t="n"/>
      <c r="I249" s="27" t="n"/>
      <c r="J249" s="27" t="n"/>
      <c r="K249" s="27" t="n"/>
      <c r="L249" s="28" t="n"/>
      <c r="M249" s="27" t="n"/>
      <c r="N249" s="27" t="n"/>
      <c r="O249" s="27">
        <f>IF(AND(M249="",N249=""),"",IF(OR(M249="No Hit",N249="No Hit"),"Loss",IF(AND(M249="Hit",N249="Hit"),"Win","Pending")))</f>
        <v/>
      </c>
      <c r="P249" s="28">
        <f>IF(OR(K249="",L249=""),"",IF(K249&gt;0,L249*(K249/100),L249*(100/(-K249))))</f>
        <v/>
      </c>
      <c r="Q249" s="29">
        <f>IF(O249="Win",P249,IF(O249="Loss",-L249,""))</f>
        <v/>
      </c>
      <c r="R249" s="29">
        <f>IF(Q249="","",SUM($Q$2:Q249))</f>
        <v/>
      </c>
      <c r="S249" s="25" t="n"/>
    </row>
    <row r="250">
      <c r="A250" s="24" t="n"/>
      <c r="B250" s="25" t="n"/>
      <c r="C250" s="27" t="n"/>
      <c r="D250" s="26" t="n"/>
      <c r="E250" s="27" t="n"/>
      <c r="F250" s="25" t="n"/>
      <c r="G250" s="27" t="n"/>
      <c r="H250" s="26" t="n"/>
      <c r="I250" s="27" t="n"/>
      <c r="J250" s="27" t="n"/>
      <c r="K250" s="27" t="n"/>
      <c r="L250" s="28" t="n"/>
      <c r="M250" s="27" t="n"/>
      <c r="N250" s="27" t="n"/>
      <c r="O250" s="27">
        <f>IF(AND(M250="",N250=""),"",IF(OR(M250="No Hit",N250="No Hit"),"Loss",IF(AND(M250="Hit",N250="Hit"),"Win","Pending")))</f>
        <v/>
      </c>
      <c r="P250" s="28">
        <f>IF(OR(K250="",L250=""),"",IF(K250&gt;0,L250*(K250/100),L250*(100/(-K250))))</f>
        <v/>
      </c>
      <c r="Q250" s="29">
        <f>IF(O250="Win",P250,IF(O250="Loss",-L250,""))</f>
        <v/>
      </c>
      <c r="R250" s="29">
        <f>IF(Q250="","",SUM($Q$2:Q250))</f>
        <v/>
      </c>
      <c r="S250" s="25" t="n"/>
    </row>
    <row r="251">
      <c r="A251" s="24" t="n"/>
      <c r="B251" s="25" t="n"/>
      <c r="C251" s="27" t="n"/>
      <c r="D251" s="26" t="n"/>
      <c r="E251" s="27" t="n"/>
      <c r="F251" s="25" t="n"/>
      <c r="G251" s="27" t="n"/>
      <c r="H251" s="26" t="n"/>
      <c r="I251" s="27" t="n"/>
      <c r="J251" s="27" t="n"/>
      <c r="K251" s="27" t="n"/>
      <c r="L251" s="28" t="n"/>
      <c r="M251" s="27" t="n"/>
      <c r="N251" s="27" t="n"/>
      <c r="O251" s="27">
        <f>IF(AND(M251="",N251=""),"",IF(OR(M251="No Hit",N251="No Hit"),"Loss",IF(AND(M251="Hit",N251="Hit"),"Win","Pending")))</f>
        <v/>
      </c>
      <c r="P251" s="28">
        <f>IF(OR(K251="",L251=""),"",IF(K251&gt;0,L251*(K251/100),L251*(100/(-K251))))</f>
        <v/>
      </c>
      <c r="Q251" s="29">
        <f>IF(O251="Win",P251,IF(O251="Loss",-L251,""))</f>
        <v/>
      </c>
      <c r="R251" s="29">
        <f>IF(Q251="","",SUM($Q$2:Q251))</f>
        <v/>
      </c>
      <c r="S251" s="25" t="n"/>
    </row>
    <row r="252">
      <c r="A252" s="24" t="n"/>
      <c r="B252" s="25" t="n"/>
      <c r="C252" s="27" t="n"/>
      <c r="D252" s="26" t="n"/>
      <c r="E252" s="27" t="n"/>
      <c r="F252" s="25" t="n"/>
      <c r="G252" s="27" t="n"/>
      <c r="H252" s="26" t="n"/>
      <c r="I252" s="27" t="n"/>
      <c r="J252" s="27" t="n"/>
      <c r="K252" s="27" t="n"/>
      <c r="L252" s="28" t="n"/>
      <c r="M252" s="27" t="n"/>
      <c r="N252" s="27" t="n"/>
      <c r="O252" s="27">
        <f>IF(AND(M252="",N252=""),"",IF(OR(M252="No Hit",N252="No Hit"),"Loss",IF(AND(M252="Hit",N252="Hit"),"Win","Pending")))</f>
        <v/>
      </c>
      <c r="P252" s="28">
        <f>IF(OR(K252="",L252=""),"",IF(K252&gt;0,L252*(K252/100),L252*(100/(-K252))))</f>
        <v/>
      </c>
      <c r="Q252" s="29">
        <f>IF(O252="Win",P252,IF(O252="Loss",-L252,""))</f>
        <v/>
      </c>
      <c r="R252" s="29">
        <f>IF(Q252="","",SUM($Q$2:Q252))</f>
        <v/>
      </c>
      <c r="S252" s="25" t="n"/>
    </row>
    <row r="253">
      <c r="A253" s="24" t="n"/>
      <c r="B253" s="25" t="n"/>
      <c r="C253" s="27" t="n"/>
      <c r="D253" s="26" t="n"/>
      <c r="E253" s="27" t="n"/>
      <c r="F253" s="25" t="n"/>
      <c r="G253" s="27" t="n"/>
      <c r="H253" s="26" t="n"/>
      <c r="I253" s="27" t="n"/>
      <c r="J253" s="27" t="n"/>
      <c r="K253" s="27" t="n"/>
      <c r="L253" s="28" t="n"/>
      <c r="M253" s="27" t="n"/>
      <c r="N253" s="27" t="n"/>
      <c r="O253" s="27">
        <f>IF(AND(M253="",N253=""),"",IF(OR(M253="No Hit",N253="No Hit"),"Loss",IF(AND(M253="Hit",N253="Hit"),"Win","Pending")))</f>
        <v/>
      </c>
      <c r="P253" s="28">
        <f>IF(OR(K253="",L253=""),"",IF(K253&gt;0,L253*(K253/100),L253*(100/(-K253))))</f>
        <v/>
      </c>
      <c r="Q253" s="29">
        <f>IF(O253="Win",P253,IF(O253="Loss",-L253,""))</f>
        <v/>
      </c>
      <c r="R253" s="29">
        <f>IF(Q253="","",SUM($Q$2:Q253))</f>
        <v/>
      </c>
      <c r="S253" s="25" t="n"/>
    </row>
    <row r="254">
      <c r="A254" s="24" t="n"/>
      <c r="B254" s="25" t="n"/>
      <c r="C254" s="27" t="n"/>
      <c r="D254" s="26" t="n"/>
      <c r="E254" s="27" t="n"/>
      <c r="F254" s="25" t="n"/>
      <c r="G254" s="27" t="n"/>
      <c r="H254" s="26" t="n"/>
      <c r="I254" s="27" t="n"/>
      <c r="J254" s="27" t="n"/>
      <c r="K254" s="27" t="n"/>
      <c r="L254" s="28" t="n"/>
      <c r="M254" s="27" t="n"/>
      <c r="N254" s="27" t="n"/>
      <c r="O254" s="27">
        <f>IF(AND(M254="",N254=""),"",IF(OR(M254="No Hit",N254="No Hit"),"Loss",IF(AND(M254="Hit",N254="Hit"),"Win","Pending")))</f>
        <v/>
      </c>
      <c r="P254" s="28">
        <f>IF(OR(K254="",L254=""),"",IF(K254&gt;0,L254*(K254/100),L254*(100/(-K254))))</f>
        <v/>
      </c>
      <c r="Q254" s="29">
        <f>IF(O254="Win",P254,IF(O254="Loss",-L254,""))</f>
        <v/>
      </c>
      <c r="R254" s="29">
        <f>IF(Q254="","",SUM($Q$2:Q254))</f>
        <v/>
      </c>
      <c r="S254" s="25" t="n"/>
    </row>
    <row r="255">
      <c r="A255" s="24" t="n"/>
      <c r="B255" s="25" t="n"/>
      <c r="C255" s="27" t="n"/>
      <c r="D255" s="26" t="n"/>
      <c r="E255" s="27" t="n"/>
      <c r="F255" s="25" t="n"/>
      <c r="G255" s="27" t="n"/>
      <c r="H255" s="26" t="n"/>
      <c r="I255" s="27" t="n"/>
      <c r="J255" s="27" t="n"/>
      <c r="K255" s="27" t="n"/>
      <c r="L255" s="28" t="n"/>
      <c r="M255" s="27" t="n"/>
      <c r="N255" s="27" t="n"/>
      <c r="O255" s="27">
        <f>IF(AND(M255="",N255=""),"",IF(OR(M255="No Hit",N255="No Hit"),"Loss",IF(AND(M255="Hit",N255="Hit"),"Win","Pending")))</f>
        <v/>
      </c>
      <c r="P255" s="28">
        <f>IF(OR(K255="",L255=""),"",IF(K255&gt;0,L255*(K255/100),L255*(100/(-K255))))</f>
        <v/>
      </c>
      <c r="Q255" s="29">
        <f>IF(O255="Win",P255,IF(O255="Loss",-L255,""))</f>
        <v/>
      </c>
      <c r="R255" s="29">
        <f>IF(Q255="","",SUM($Q$2:Q255))</f>
        <v/>
      </c>
      <c r="S255" s="25" t="n"/>
    </row>
    <row r="256">
      <c r="A256" s="24" t="n"/>
      <c r="B256" s="25" t="n"/>
      <c r="C256" s="27" t="n"/>
      <c r="D256" s="26" t="n"/>
      <c r="E256" s="27" t="n"/>
      <c r="F256" s="25" t="n"/>
      <c r="G256" s="27" t="n"/>
      <c r="H256" s="26" t="n"/>
      <c r="I256" s="27" t="n"/>
      <c r="J256" s="27" t="n"/>
      <c r="K256" s="27" t="n"/>
      <c r="L256" s="28" t="n"/>
      <c r="M256" s="27" t="n"/>
      <c r="N256" s="27" t="n"/>
      <c r="O256" s="27">
        <f>IF(AND(M256="",N256=""),"",IF(OR(M256="No Hit",N256="No Hit"),"Loss",IF(AND(M256="Hit",N256="Hit"),"Win","Pending")))</f>
        <v/>
      </c>
      <c r="P256" s="28">
        <f>IF(OR(K256="",L256=""),"",IF(K256&gt;0,L256*(K256/100),L256*(100/(-K256))))</f>
        <v/>
      </c>
      <c r="Q256" s="29">
        <f>IF(O256="Win",P256,IF(O256="Loss",-L256,""))</f>
        <v/>
      </c>
      <c r="R256" s="29">
        <f>IF(Q256="","",SUM($Q$2:Q256))</f>
        <v/>
      </c>
      <c r="S256" s="25" t="n"/>
    </row>
    <row r="257">
      <c r="A257" s="24" t="n"/>
      <c r="B257" s="25" t="n"/>
      <c r="C257" s="27" t="n"/>
      <c r="D257" s="26" t="n"/>
      <c r="E257" s="27" t="n"/>
      <c r="F257" s="25" t="n"/>
      <c r="G257" s="27" t="n"/>
      <c r="H257" s="26" t="n"/>
      <c r="I257" s="27" t="n"/>
      <c r="J257" s="27" t="n"/>
      <c r="K257" s="27" t="n"/>
      <c r="L257" s="28" t="n"/>
      <c r="M257" s="27" t="n"/>
      <c r="N257" s="27" t="n"/>
      <c r="O257" s="27">
        <f>IF(AND(M257="",N257=""),"",IF(OR(M257="No Hit",N257="No Hit"),"Loss",IF(AND(M257="Hit",N257="Hit"),"Win","Pending")))</f>
        <v/>
      </c>
      <c r="P257" s="28">
        <f>IF(OR(K257="",L257=""),"",IF(K257&gt;0,L257*(K257/100),L257*(100/(-K257))))</f>
        <v/>
      </c>
      <c r="Q257" s="29">
        <f>IF(O257="Win",P257,IF(O257="Loss",-L257,""))</f>
        <v/>
      </c>
      <c r="R257" s="29">
        <f>IF(Q257="","",SUM($Q$2:Q257))</f>
        <v/>
      </c>
      <c r="S257" s="25" t="n"/>
    </row>
    <row r="258">
      <c r="A258" s="24" t="n"/>
      <c r="B258" s="25" t="n"/>
      <c r="C258" s="27" t="n"/>
      <c r="D258" s="26" t="n"/>
      <c r="E258" s="27" t="n"/>
      <c r="F258" s="25" t="n"/>
      <c r="G258" s="27" t="n"/>
      <c r="H258" s="26" t="n"/>
      <c r="I258" s="27" t="n"/>
      <c r="J258" s="27" t="n"/>
      <c r="K258" s="27" t="n"/>
      <c r="L258" s="28" t="n"/>
      <c r="M258" s="27" t="n"/>
      <c r="N258" s="27" t="n"/>
      <c r="O258" s="27">
        <f>IF(AND(M258="",N258=""),"",IF(OR(M258="No Hit",N258="No Hit"),"Loss",IF(AND(M258="Hit",N258="Hit"),"Win","Pending")))</f>
        <v/>
      </c>
      <c r="P258" s="28">
        <f>IF(OR(K258="",L258=""),"",IF(K258&gt;0,L258*(K258/100),L258*(100/(-K258))))</f>
        <v/>
      </c>
      <c r="Q258" s="29">
        <f>IF(O258="Win",P258,IF(O258="Loss",-L258,""))</f>
        <v/>
      </c>
      <c r="R258" s="29">
        <f>IF(Q258="","",SUM($Q$2:Q258))</f>
        <v/>
      </c>
      <c r="S258" s="25" t="n"/>
    </row>
    <row r="259">
      <c r="A259" s="24" t="n"/>
      <c r="B259" s="25" t="n"/>
      <c r="C259" s="27" t="n"/>
      <c r="D259" s="26" t="n"/>
      <c r="E259" s="27" t="n"/>
      <c r="F259" s="25" t="n"/>
      <c r="G259" s="27" t="n"/>
      <c r="H259" s="26" t="n"/>
      <c r="I259" s="27" t="n"/>
      <c r="J259" s="27" t="n"/>
      <c r="K259" s="27" t="n"/>
      <c r="L259" s="28" t="n"/>
      <c r="M259" s="27" t="n"/>
      <c r="N259" s="27" t="n"/>
      <c r="O259" s="27">
        <f>IF(AND(M259="",N259=""),"",IF(OR(M259="No Hit",N259="No Hit"),"Loss",IF(AND(M259="Hit",N259="Hit"),"Win","Pending")))</f>
        <v/>
      </c>
      <c r="P259" s="28">
        <f>IF(OR(K259="",L259=""),"",IF(K259&gt;0,L259*(K259/100),L259*(100/(-K259))))</f>
        <v/>
      </c>
      <c r="Q259" s="29">
        <f>IF(O259="Win",P259,IF(O259="Loss",-L259,""))</f>
        <v/>
      </c>
      <c r="R259" s="29">
        <f>IF(Q259="","",SUM($Q$2:Q259))</f>
        <v/>
      </c>
      <c r="S259" s="25" t="n"/>
    </row>
    <row r="260">
      <c r="A260" s="24" t="n"/>
      <c r="B260" s="25" t="n"/>
      <c r="C260" s="27" t="n"/>
      <c r="D260" s="26" t="n"/>
      <c r="E260" s="27" t="n"/>
      <c r="F260" s="25" t="n"/>
      <c r="G260" s="27" t="n"/>
      <c r="H260" s="26" t="n"/>
      <c r="I260" s="27" t="n"/>
      <c r="J260" s="27" t="n"/>
      <c r="K260" s="27" t="n"/>
      <c r="L260" s="28" t="n"/>
      <c r="M260" s="27" t="n"/>
      <c r="N260" s="27" t="n"/>
      <c r="O260" s="27">
        <f>IF(AND(M260="",N260=""),"",IF(OR(M260="No Hit",N260="No Hit"),"Loss",IF(AND(M260="Hit",N260="Hit"),"Win","Pending")))</f>
        <v/>
      </c>
      <c r="P260" s="28">
        <f>IF(OR(K260="",L260=""),"",IF(K260&gt;0,L260*(K260/100),L260*(100/(-K260))))</f>
        <v/>
      </c>
      <c r="Q260" s="29">
        <f>IF(O260="Win",P260,IF(O260="Loss",-L260,""))</f>
        <v/>
      </c>
      <c r="R260" s="29">
        <f>IF(Q260="","",SUM($Q$2:Q260))</f>
        <v/>
      </c>
      <c r="S260" s="25" t="n"/>
    </row>
    <row r="261">
      <c r="A261" s="24" t="n"/>
      <c r="B261" s="25" t="n"/>
      <c r="C261" s="27" t="n"/>
      <c r="D261" s="26" t="n"/>
      <c r="E261" s="27" t="n"/>
      <c r="F261" s="25" t="n"/>
      <c r="G261" s="27" t="n"/>
      <c r="H261" s="26" t="n"/>
      <c r="I261" s="27" t="n"/>
      <c r="J261" s="27" t="n"/>
      <c r="K261" s="27" t="n"/>
      <c r="L261" s="28" t="n"/>
      <c r="M261" s="27" t="n"/>
      <c r="N261" s="27" t="n"/>
      <c r="O261" s="27">
        <f>IF(AND(M261="",N261=""),"",IF(OR(M261="No Hit",N261="No Hit"),"Loss",IF(AND(M261="Hit",N261="Hit"),"Win","Pending")))</f>
        <v/>
      </c>
      <c r="P261" s="28">
        <f>IF(OR(K261="",L261=""),"",IF(K261&gt;0,L261*(K261/100),L261*(100/(-K261))))</f>
        <v/>
      </c>
      <c r="Q261" s="29">
        <f>IF(O261="Win",P261,IF(O261="Loss",-L261,""))</f>
        <v/>
      </c>
      <c r="R261" s="29">
        <f>IF(Q261="","",SUM($Q$2:Q261))</f>
        <v/>
      </c>
      <c r="S261" s="25" t="n"/>
    </row>
    <row r="262">
      <c r="A262" s="24" t="n"/>
      <c r="B262" s="25" t="n"/>
      <c r="C262" s="27" t="n"/>
      <c r="D262" s="26" t="n"/>
      <c r="E262" s="27" t="n"/>
      <c r="F262" s="25" t="n"/>
      <c r="G262" s="27" t="n"/>
      <c r="H262" s="26" t="n"/>
      <c r="I262" s="27" t="n"/>
      <c r="J262" s="27" t="n"/>
      <c r="K262" s="27" t="n"/>
      <c r="L262" s="28" t="n"/>
      <c r="M262" s="27" t="n"/>
      <c r="N262" s="27" t="n"/>
      <c r="O262" s="27">
        <f>IF(AND(M262="",N262=""),"",IF(OR(M262="No Hit",N262="No Hit"),"Loss",IF(AND(M262="Hit",N262="Hit"),"Win","Pending")))</f>
        <v/>
      </c>
      <c r="P262" s="28">
        <f>IF(OR(K262="",L262=""),"",IF(K262&gt;0,L262*(K262/100),L262*(100/(-K262))))</f>
        <v/>
      </c>
      <c r="Q262" s="29">
        <f>IF(O262="Win",P262,IF(O262="Loss",-L262,""))</f>
        <v/>
      </c>
      <c r="R262" s="29">
        <f>IF(Q262="","",SUM($Q$2:Q262))</f>
        <v/>
      </c>
      <c r="S262" s="25" t="n"/>
    </row>
    <row r="263">
      <c r="A263" s="24" t="n"/>
      <c r="B263" s="25" t="n"/>
      <c r="C263" s="27" t="n"/>
      <c r="D263" s="26" t="n"/>
      <c r="E263" s="27" t="n"/>
      <c r="F263" s="25" t="n"/>
      <c r="G263" s="27" t="n"/>
      <c r="H263" s="26" t="n"/>
      <c r="I263" s="27" t="n"/>
      <c r="J263" s="27" t="n"/>
      <c r="K263" s="27" t="n"/>
      <c r="L263" s="28" t="n"/>
      <c r="M263" s="27" t="n"/>
      <c r="N263" s="27" t="n"/>
      <c r="O263" s="27">
        <f>IF(AND(M263="",N263=""),"",IF(OR(M263="No Hit",N263="No Hit"),"Loss",IF(AND(M263="Hit",N263="Hit"),"Win","Pending")))</f>
        <v/>
      </c>
      <c r="P263" s="28">
        <f>IF(OR(K263="",L263=""),"",IF(K263&gt;0,L263*(K263/100),L263*(100/(-K263))))</f>
        <v/>
      </c>
      <c r="Q263" s="29">
        <f>IF(O263="Win",P263,IF(O263="Loss",-L263,""))</f>
        <v/>
      </c>
      <c r="R263" s="29">
        <f>IF(Q263="","",SUM($Q$2:Q263))</f>
        <v/>
      </c>
      <c r="S263" s="25" t="n"/>
    </row>
    <row r="264">
      <c r="A264" s="24" t="n"/>
      <c r="B264" s="25" t="n"/>
      <c r="C264" s="27" t="n"/>
      <c r="D264" s="26" t="n"/>
      <c r="E264" s="27" t="n"/>
      <c r="F264" s="25" t="n"/>
      <c r="G264" s="27" t="n"/>
      <c r="H264" s="26" t="n"/>
      <c r="I264" s="27" t="n"/>
      <c r="J264" s="27" t="n"/>
      <c r="K264" s="27" t="n"/>
      <c r="L264" s="28" t="n"/>
      <c r="M264" s="27" t="n"/>
      <c r="N264" s="27" t="n"/>
      <c r="O264" s="27">
        <f>IF(AND(M264="",N264=""),"",IF(OR(M264="No Hit",N264="No Hit"),"Loss",IF(AND(M264="Hit",N264="Hit"),"Win","Pending")))</f>
        <v/>
      </c>
      <c r="P264" s="28">
        <f>IF(OR(K264="",L264=""),"",IF(K264&gt;0,L264*(K264/100),L264*(100/(-K264))))</f>
        <v/>
      </c>
      <c r="Q264" s="29">
        <f>IF(O264="Win",P264,IF(O264="Loss",-L264,""))</f>
        <v/>
      </c>
      <c r="R264" s="29">
        <f>IF(Q264="","",SUM($Q$2:Q264))</f>
        <v/>
      </c>
      <c r="S264" s="25" t="n"/>
    </row>
    <row r="265">
      <c r="A265" s="24" t="n"/>
      <c r="B265" s="25" t="n"/>
      <c r="C265" s="27" t="n"/>
      <c r="D265" s="26" t="n"/>
      <c r="E265" s="27" t="n"/>
      <c r="F265" s="25" t="n"/>
      <c r="G265" s="27" t="n"/>
      <c r="H265" s="26" t="n"/>
      <c r="I265" s="27" t="n"/>
      <c r="J265" s="27" t="n"/>
      <c r="K265" s="27" t="n"/>
      <c r="L265" s="28" t="n"/>
      <c r="M265" s="27" t="n"/>
      <c r="N265" s="27" t="n"/>
      <c r="O265" s="27">
        <f>IF(AND(M265="",N265=""),"",IF(OR(M265="No Hit",N265="No Hit"),"Loss",IF(AND(M265="Hit",N265="Hit"),"Win","Pending")))</f>
        <v/>
      </c>
      <c r="P265" s="28">
        <f>IF(OR(K265="",L265=""),"",IF(K265&gt;0,L265*(K265/100),L265*(100/(-K265))))</f>
        <v/>
      </c>
      <c r="Q265" s="29">
        <f>IF(O265="Win",P265,IF(O265="Loss",-L265,""))</f>
        <v/>
      </c>
      <c r="R265" s="29">
        <f>IF(Q265="","",SUM($Q$2:Q265))</f>
        <v/>
      </c>
      <c r="S265" s="25" t="n"/>
    </row>
    <row r="266">
      <c r="A266" s="24" t="n"/>
      <c r="B266" s="25" t="n"/>
      <c r="C266" s="27" t="n"/>
      <c r="D266" s="26" t="n"/>
      <c r="E266" s="27" t="n"/>
      <c r="F266" s="25" t="n"/>
      <c r="G266" s="27" t="n"/>
      <c r="H266" s="26" t="n"/>
      <c r="I266" s="27" t="n"/>
      <c r="J266" s="27" t="n"/>
      <c r="K266" s="27" t="n"/>
      <c r="L266" s="28" t="n"/>
      <c r="M266" s="27" t="n"/>
      <c r="N266" s="27" t="n"/>
      <c r="O266" s="27">
        <f>IF(AND(M266="",N266=""),"",IF(OR(M266="No Hit",N266="No Hit"),"Loss",IF(AND(M266="Hit",N266="Hit"),"Win","Pending")))</f>
        <v/>
      </c>
      <c r="P266" s="28">
        <f>IF(OR(K266="",L266=""),"",IF(K266&gt;0,L266*(K266/100),L266*(100/(-K266))))</f>
        <v/>
      </c>
      <c r="Q266" s="29">
        <f>IF(O266="Win",P266,IF(O266="Loss",-L266,""))</f>
        <v/>
      </c>
      <c r="R266" s="29">
        <f>IF(Q266="","",SUM($Q$2:Q266))</f>
        <v/>
      </c>
      <c r="S266" s="25" t="n"/>
    </row>
    <row r="267">
      <c r="A267" s="24" t="n"/>
      <c r="B267" s="25" t="n"/>
      <c r="C267" s="27" t="n"/>
      <c r="D267" s="26" t="n"/>
      <c r="E267" s="27" t="n"/>
      <c r="F267" s="25" t="n"/>
      <c r="G267" s="27" t="n"/>
      <c r="H267" s="26" t="n"/>
      <c r="I267" s="27" t="n"/>
      <c r="J267" s="27" t="n"/>
      <c r="K267" s="27" t="n"/>
      <c r="L267" s="28" t="n"/>
      <c r="M267" s="27" t="n"/>
      <c r="N267" s="27" t="n"/>
      <c r="O267" s="27">
        <f>IF(AND(M267="",N267=""),"",IF(OR(M267="No Hit",N267="No Hit"),"Loss",IF(AND(M267="Hit",N267="Hit"),"Win","Pending")))</f>
        <v/>
      </c>
      <c r="P267" s="28">
        <f>IF(OR(K267="",L267=""),"",IF(K267&gt;0,L267*(K267/100),L267*(100/(-K267))))</f>
        <v/>
      </c>
      <c r="Q267" s="29">
        <f>IF(O267="Win",P267,IF(O267="Loss",-L267,""))</f>
        <v/>
      </c>
      <c r="R267" s="29">
        <f>IF(Q267="","",SUM($Q$2:Q267))</f>
        <v/>
      </c>
      <c r="S267" s="25" t="n"/>
    </row>
    <row r="268">
      <c r="A268" s="24" t="n"/>
      <c r="B268" s="25" t="n"/>
      <c r="C268" s="27" t="n"/>
      <c r="D268" s="26" t="n"/>
      <c r="E268" s="27" t="n"/>
      <c r="F268" s="25" t="n"/>
      <c r="G268" s="27" t="n"/>
      <c r="H268" s="26" t="n"/>
      <c r="I268" s="27" t="n"/>
      <c r="J268" s="27" t="n"/>
      <c r="K268" s="27" t="n"/>
      <c r="L268" s="28" t="n"/>
      <c r="M268" s="27" t="n"/>
      <c r="N268" s="27" t="n"/>
      <c r="O268" s="27">
        <f>IF(AND(M268="",N268=""),"",IF(OR(M268="No Hit",N268="No Hit"),"Loss",IF(AND(M268="Hit",N268="Hit"),"Win","Pending")))</f>
        <v/>
      </c>
      <c r="P268" s="28">
        <f>IF(OR(K268="",L268=""),"",IF(K268&gt;0,L268*(K268/100),L268*(100/(-K268))))</f>
        <v/>
      </c>
      <c r="Q268" s="29">
        <f>IF(O268="Win",P268,IF(O268="Loss",-L268,""))</f>
        <v/>
      </c>
      <c r="R268" s="29">
        <f>IF(Q268="","",SUM($Q$2:Q268))</f>
        <v/>
      </c>
      <c r="S268" s="25" t="n"/>
    </row>
    <row r="269">
      <c r="A269" s="24" t="n"/>
      <c r="B269" s="25" t="n"/>
      <c r="C269" s="27" t="n"/>
      <c r="D269" s="26" t="n"/>
      <c r="E269" s="27" t="n"/>
      <c r="F269" s="25" t="n"/>
      <c r="G269" s="27" t="n"/>
      <c r="H269" s="26" t="n"/>
      <c r="I269" s="27" t="n"/>
      <c r="J269" s="27" t="n"/>
      <c r="K269" s="27" t="n"/>
      <c r="L269" s="28" t="n"/>
      <c r="M269" s="27" t="n"/>
      <c r="N269" s="27" t="n"/>
      <c r="O269" s="27">
        <f>IF(AND(M269="",N269=""),"",IF(OR(M269="No Hit",N269="No Hit"),"Loss",IF(AND(M269="Hit",N269="Hit"),"Win","Pending")))</f>
        <v/>
      </c>
      <c r="P269" s="28">
        <f>IF(OR(K269="",L269=""),"",IF(K269&gt;0,L269*(K269/100),L269*(100/(-K269))))</f>
        <v/>
      </c>
      <c r="Q269" s="29">
        <f>IF(O269="Win",P269,IF(O269="Loss",-L269,""))</f>
        <v/>
      </c>
      <c r="R269" s="29">
        <f>IF(Q269="","",SUM($Q$2:Q269))</f>
        <v/>
      </c>
      <c r="S269" s="25" t="n"/>
    </row>
    <row r="270">
      <c r="A270" s="24" t="n"/>
      <c r="B270" s="25" t="n"/>
      <c r="C270" s="27" t="n"/>
      <c r="D270" s="26" t="n"/>
      <c r="E270" s="27" t="n"/>
      <c r="F270" s="25" t="n"/>
      <c r="G270" s="27" t="n"/>
      <c r="H270" s="26" t="n"/>
      <c r="I270" s="27" t="n"/>
      <c r="J270" s="27" t="n"/>
      <c r="K270" s="27" t="n"/>
      <c r="L270" s="28" t="n"/>
      <c r="M270" s="27" t="n"/>
      <c r="N270" s="27" t="n"/>
      <c r="O270" s="27">
        <f>IF(AND(M270="",N270=""),"",IF(OR(M270="No Hit",N270="No Hit"),"Loss",IF(AND(M270="Hit",N270="Hit"),"Win","Pending")))</f>
        <v/>
      </c>
      <c r="P270" s="28">
        <f>IF(OR(K270="",L270=""),"",IF(K270&gt;0,L270*(K270/100),L270*(100/(-K270))))</f>
        <v/>
      </c>
      <c r="Q270" s="29">
        <f>IF(O270="Win",P270,IF(O270="Loss",-L270,""))</f>
        <v/>
      </c>
      <c r="R270" s="29">
        <f>IF(Q270="","",SUM($Q$2:Q270))</f>
        <v/>
      </c>
      <c r="S270" s="25" t="n"/>
    </row>
    <row r="271">
      <c r="A271" s="24" t="n"/>
      <c r="B271" s="25" t="n"/>
      <c r="C271" s="27" t="n"/>
      <c r="D271" s="26" t="n"/>
      <c r="E271" s="27" t="n"/>
      <c r="F271" s="25" t="n"/>
      <c r="G271" s="27" t="n"/>
      <c r="H271" s="26" t="n"/>
      <c r="I271" s="27" t="n"/>
      <c r="J271" s="27" t="n"/>
      <c r="K271" s="27" t="n"/>
      <c r="L271" s="28" t="n"/>
      <c r="M271" s="27" t="n"/>
      <c r="N271" s="27" t="n"/>
      <c r="O271" s="27">
        <f>IF(AND(M271="",N271=""),"",IF(OR(M271="No Hit",N271="No Hit"),"Loss",IF(AND(M271="Hit",N271="Hit"),"Win","Pending")))</f>
        <v/>
      </c>
      <c r="P271" s="28">
        <f>IF(OR(K271="",L271=""),"",IF(K271&gt;0,L271*(K271/100),L271*(100/(-K271))))</f>
        <v/>
      </c>
      <c r="Q271" s="29">
        <f>IF(O271="Win",P271,IF(O271="Loss",-L271,""))</f>
        <v/>
      </c>
      <c r="R271" s="29">
        <f>IF(Q271="","",SUM($Q$2:Q271))</f>
        <v/>
      </c>
      <c r="S271" s="25" t="n"/>
    </row>
    <row r="272">
      <c r="A272" s="24" t="n"/>
      <c r="B272" s="25" t="n"/>
      <c r="C272" s="27" t="n"/>
      <c r="D272" s="26" t="n"/>
      <c r="E272" s="27" t="n"/>
      <c r="F272" s="25" t="n"/>
      <c r="G272" s="27" t="n"/>
      <c r="H272" s="26" t="n"/>
      <c r="I272" s="27" t="n"/>
      <c r="J272" s="27" t="n"/>
      <c r="K272" s="27" t="n"/>
      <c r="L272" s="28" t="n"/>
      <c r="M272" s="27" t="n"/>
      <c r="N272" s="27" t="n"/>
      <c r="O272" s="27">
        <f>IF(AND(M272="",N272=""),"",IF(OR(M272="No Hit",N272="No Hit"),"Loss",IF(AND(M272="Hit",N272="Hit"),"Win","Pending")))</f>
        <v/>
      </c>
      <c r="P272" s="28">
        <f>IF(OR(K272="",L272=""),"",IF(K272&gt;0,L272*(K272/100),L272*(100/(-K272))))</f>
        <v/>
      </c>
      <c r="Q272" s="29">
        <f>IF(O272="Win",P272,IF(O272="Loss",-L272,""))</f>
        <v/>
      </c>
      <c r="R272" s="29">
        <f>IF(Q272="","",SUM($Q$2:Q272))</f>
        <v/>
      </c>
      <c r="S272" s="25" t="n"/>
    </row>
    <row r="273">
      <c r="A273" s="24" t="n"/>
      <c r="B273" s="25" t="n"/>
      <c r="C273" s="27" t="n"/>
      <c r="D273" s="26" t="n"/>
      <c r="E273" s="27" t="n"/>
      <c r="F273" s="25" t="n"/>
      <c r="G273" s="27" t="n"/>
      <c r="H273" s="26" t="n"/>
      <c r="I273" s="27" t="n"/>
      <c r="J273" s="27" t="n"/>
      <c r="K273" s="27" t="n"/>
      <c r="L273" s="28" t="n"/>
      <c r="M273" s="27" t="n"/>
      <c r="N273" s="27" t="n"/>
      <c r="O273" s="27">
        <f>IF(AND(M273="",N273=""),"",IF(OR(M273="No Hit",N273="No Hit"),"Loss",IF(AND(M273="Hit",N273="Hit"),"Win","Pending")))</f>
        <v/>
      </c>
      <c r="P273" s="28">
        <f>IF(OR(K273="",L273=""),"",IF(K273&gt;0,L273*(K273/100),L273*(100/(-K273))))</f>
        <v/>
      </c>
      <c r="Q273" s="29">
        <f>IF(O273="Win",P273,IF(O273="Loss",-L273,""))</f>
        <v/>
      </c>
      <c r="R273" s="29">
        <f>IF(Q273="","",SUM($Q$2:Q273))</f>
        <v/>
      </c>
      <c r="S273" s="25" t="n"/>
    </row>
    <row r="274">
      <c r="A274" s="24" t="n"/>
      <c r="B274" s="25" t="n"/>
      <c r="C274" s="27" t="n"/>
      <c r="D274" s="26" t="n"/>
      <c r="E274" s="27" t="n"/>
      <c r="F274" s="25" t="n"/>
      <c r="G274" s="27" t="n"/>
      <c r="H274" s="26" t="n"/>
      <c r="I274" s="27" t="n"/>
      <c r="J274" s="27" t="n"/>
      <c r="K274" s="27" t="n"/>
      <c r="L274" s="28" t="n"/>
      <c r="M274" s="27" t="n"/>
      <c r="N274" s="27" t="n"/>
      <c r="O274" s="27">
        <f>IF(AND(M274="",N274=""),"",IF(OR(M274="No Hit",N274="No Hit"),"Loss",IF(AND(M274="Hit",N274="Hit"),"Win","Pending")))</f>
        <v/>
      </c>
      <c r="P274" s="28">
        <f>IF(OR(K274="",L274=""),"",IF(K274&gt;0,L274*(K274/100),L274*(100/(-K274))))</f>
        <v/>
      </c>
      <c r="Q274" s="29">
        <f>IF(O274="Win",P274,IF(O274="Loss",-L274,""))</f>
        <v/>
      </c>
      <c r="R274" s="29">
        <f>IF(Q274="","",SUM($Q$2:Q274))</f>
        <v/>
      </c>
      <c r="S274" s="25" t="n"/>
    </row>
    <row r="275">
      <c r="A275" s="24" t="n"/>
      <c r="B275" s="25" t="n"/>
      <c r="C275" s="27" t="n"/>
      <c r="D275" s="26" t="n"/>
      <c r="E275" s="27" t="n"/>
      <c r="F275" s="25" t="n"/>
      <c r="G275" s="27" t="n"/>
      <c r="H275" s="26" t="n"/>
      <c r="I275" s="27" t="n"/>
      <c r="J275" s="27" t="n"/>
      <c r="K275" s="27" t="n"/>
      <c r="L275" s="28" t="n"/>
      <c r="M275" s="27" t="n"/>
      <c r="N275" s="27" t="n"/>
      <c r="O275" s="27">
        <f>IF(AND(M275="",N275=""),"",IF(OR(M275="No Hit",N275="No Hit"),"Loss",IF(AND(M275="Hit",N275="Hit"),"Win","Pending")))</f>
        <v/>
      </c>
      <c r="P275" s="28">
        <f>IF(OR(K275="",L275=""),"",IF(K275&gt;0,L275*(K275/100),L275*(100/(-K275))))</f>
        <v/>
      </c>
      <c r="Q275" s="29">
        <f>IF(O275="Win",P275,IF(O275="Loss",-L275,""))</f>
        <v/>
      </c>
      <c r="R275" s="29">
        <f>IF(Q275="","",SUM($Q$2:Q275))</f>
        <v/>
      </c>
      <c r="S275" s="25" t="n"/>
    </row>
    <row r="276">
      <c r="A276" s="24" t="n"/>
      <c r="B276" s="25" t="n"/>
      <c r="C276" s="27" t="n"/>
      <c r="D276" s="26" t="n"/>
      <c r="E276" s="27" t="n"/>
      <c r="F276" s="25" t="n"/>
      <c r="G276" s="27" t="n"/>
      <c r="H276" s="26" t="n"/>
      <c r="I276" s="27" t="n"/>
      <c r="J276" s="27" t="n"/>
      <c r="K276" s="27" t="n"/>
      <c r="L276" s="28" t="n"/>
      <c r="M276" s="27" t="n"/>
      <c r="N276" s="27" t="n"/>
      <c r="O276" s="27">
        <f>IF(AND(M276="",N276=""),"",IF(OR(M276="No Hit",N276="No Hit"),"Loss",IF(AND(M276="Hit",N276="Hit"),"Win","Pending")))</f>
        <v/>
      </c>
      <c r="P276" s="28">
        <f>IF(OR(K276="",L276=""),"",IF(K276&gt;0,L276*(K276/100),L276*(100/(-K276))))</f>
        <v/>
      </c>
      <c r="Q276" s="29">
        <f>IF(O276="Win",P276,IF(O276="Loss",-L276,""))</f>
        <v/>
      </c>
      <c r="R276" s="29">
        <f>IF(Q276="","",SUM($Q$2:Q276))</f>
        <v/>
      </c>
      <c r="S276" s="25" t="n"/>
    </row>
    <row r="277">
      <c r="A277" s="24" t="n"/>
      <c r="B277" s="25" t="n"/>
      <c r="C277" s="27" t="n"/>
      <c r="D277" s="26" t="n"/>
      <c r="E277" s="27" t="n"/>
      <c r="F277" s="25" t="n"/>
      <c r="G277" s="27" t="n"/>
      <c r="H277" s="26" t="n"/>
      <c r="I277" s="27" t="n"/>
      <c r="J277" s="27" t="n"/>
      <c r="K277" s="27" t="n"/>
      <c r="L277" s="28" t="n"/>
      <c r="M277" s="27" t="n"/>
      <c r="N277" s="27" t="n"/>
      <c r="O277" s="27">
        <f>IF(AND(M277="",N277=""),"",IF(OR(M277="No Hit",N277="No Hit"),"Loss",IF(AND(M277="Hit",N277="Hit"),"Win","Pending")))</f>
        <v/>
      </c>
      <c r="P277" s="28">
        <f>IF(OR(K277="",L277=""),"",IF(K277&gt;0,L277*(K277/100),L277*(100/(-K277))))</f>
        <v/>
      </c>
      <c r="Q277" s="29">
        <f>IF(O277="Win",P277,IF(O277="Loss",-L277,""))</f>
        <v/>
      </c>
      <c r="R277" s="29">
        <f>IF(Q277="","",SUM($Q$2:Q277))</f>
        <v/>
      </c>
      <c r="S277" s="25" t="n"/>
    </row>
    <row r="278">
      <c r="A278" s="24" t="n"/>
      <c r="B278" s="25" t="n"/>
      <c r="C278" s="27" t="n"/>
      <c r="D278" s="26" t="n"/>
      <c r="E278" s="27" t="n"/>
      <c r="F278" s="25" t="n"/>
      <c r="G278" s="27" t="n"/>
      <c r="H278" s="26" t="n"/>
      <c r="I278" s="27" t="n"/>
      <c r="J278" s="27" t="n"/>
      <c r="K278" s="27" t="n"/>
      <c r="L278" s="28" t="n"/>
      <c r="M278" s="27" t="n"/>
      <c r="N278" s="27" t="n"/>
      <c r="O278" s="27">
        <f>IF(AND(M278="",N278=""),"",IF(OR(M278="No Hit",N278="No Hit"),"Loss",IF(AND(M278="Hit",N278="Hit"),"Win","Pending")))</f>
        <v/>
      </c>
      <c r="P278" s="28">
        <f>IF(OR(K278="",L278=""),"",IF(K278&gt;0,L278*(K278/100),L278*(100/(-K278))))</f>
        <v/>
      </c>
      <c r="Q278" s="29">
        <f>IF(O278="Win",P278,IF(O278="Loss",-L278,""))</f>
        <v/>
      </c>
      <c r="R278" s="29">
        <f>IF(Q278="","",SUM($Q$2:Q278))</f>
        <v/>
      </c>
      <c r="S278" s="25" t="n"/>
    </row>
    <row r="279">
      <c r="A279" s="24" t="n"/>
      <c r="B279" s="25" t="n"/>
      <c r="C279" s="27" t="n"/>
      <c r="D279" s="26" t="n"/>
      <c r="E279" s="27" t="n"/>
      <c r="F279" s="25" t="n"/>
      <c r="G279" s="27" t="n"/>
      <c r="H279" s="26" t="n"/>
      <c r="I279" s="27" t="n"/>
      <c r="J279" s="27" t="n"/>
      <c r="K279" s="27" t="n"/>
      <c r="L279" s="28" t="n"/>
      <c r="M279" s="27" t="n"/>
      <c r="N279" s="27" t="n"/>
      <c r="O279" s="27">
        <f>IF(AND(M279="",N279=""),"",IF(OR(M279="No Hit",N279="No Hit"),"Loss",IF(AND(M279="Hit",N279="Hit"),"Win","Pending")))</f>
        <v/>
      </c>
      <c r="P279" s="28">
        <f>IF(OR(K279="",L279=""),"",IF(K279&gt;0,L279*(K279/100),L279*(100/(-K279))))</f>
        <v/>
      </c>
      <c r="Q279" s="29">
        <f>IF(O279="Win",P279,IF(O279="Loss",-L279,""))</f>
        <v/>
      </c>
      <c r="R279" s="29">
        <f>IF(Q279="","",SUM($Q$2:Q279))</f>
        <v/>
      </c>
      <c r="S279" s="25" t="n"/>
    </row>
    <row r="280">
      <c r="A280" s="24" t="n"/>
      <c r="B280" s="25" t="n"/>
      <c r="C280" s="27" t="n"/>
      <c r="D280" s="26" t="n"/>
      <c r="E280" s="27" t="n"/>
      <c r="F280" s="25" t="n"/>
      <c r="G280" s="27" t="n"/>
      <c r="H280" s="26" t="n"/>
      <c r="I280" s="27" t="n"/>
      <c r="J280" s="27" t="n"/>
      <c r="K280" s="27" t="n"/>
      <c r="L280" s="28" t="n"/>
      <c r="M280" s="27" t="n"/>
      <c r="N280" s="27" t="n"/>
      <c r="O280" s="27">
        <f>IF(AND(M280="",N280=""),"",IF(OR(M280="No Hit",N280="No Hit"),"Loss",IF(AND(M280="Hit",N280="Hit"),"Win","Pending")))</f>
        <v/>
      </c>
      <c r="P280" s="28">
        <f>IF(OR(K280="",L280=""),"",IF(K280&gt;0,L280*(K280/100),L280*(100/(-K280))))</f>
        <v/>
      </c>
      <c r="Q280" s="29">
        <f>IF(O280="Win",P280,IF(O280="Loss",-L280,""))</f>
        <v/>
      </c>
      <c r="R280" s="29">
        <f>IF(Q280="","",SUM($Q$2:Q280))</f>
        <v/>
      </c>
      <c r="S280" s="25" t="n"/>
    </row>
    <row r="281">
      <c r="A281" s="24" t="n"/>
      <c r="B281" s="25" t="n"/>
      <c r="C281" s="27" t="n"/>
      <c r="D281" s="26" t="n"/>
      <c r="E281" s="27" t="n"/>
      <c r="F281" s="25" t="n"/>
      <c r="G281" s="27" t="n"/>
      <c r="H281" s="26" t="n"/>
      <c r="I281" s="27" t="n"/>
      <c r="J281" s="27" t="n"/>
      <c r="K281" s="27" t="n"/>
      <c r="L281" s="28" t="n"/>
      <c r="M281" s="27" t="n"/>
      <c r="N281" s="27" t="n"/>
      <c r="O281" s="27">
        <f>IF(AND(M281="",N281=""),"",IF(OR(M281="No Hit",N281="No Hit"),"Loss",IF(AND(M281="Hit",N281="Hit"),"Win","Pending")))</f>
        <v/>
      </c>
      <c r="P281" s="28">
        <f>IF(OR(K281="",L281=""),"",IF(K281&gt;0,L281*(K281/100),L281*(100/(-K281))))</f>
        <v/>
      </c>
      <c r="Q281" s="29">
        <f>IF(O281="Win",P281,IF(O281="Loss",-L281,""))</f>
        <v/>
      </c>
      <c r="R281" s="29">
        <f>IF(Q281="","",SUM($Q$2:Q281))</f>
        <v/>
      </c>
      <c r="S281" s="25" t="n"/>
    </row>
    <row r="282">
      <c r="A282" s="24" t="n"/>
      <c r="B282" s="25" t="n"/>
      <c r="C282" s="27" t="n"/>
      <c r="D282" s="26" t="n"/>
      <c r="E282" s="27" t="n"/>
      <c r="F282" s="25" t="n"/>
      <c r="G282" s="27" t="n"/>
      <c r="H282" s="26" t="n"/>
      <c r="I282" s="27" t="n"/>
      <c r="J282" s="27" t="n"/>
      <c r="K282" s="27" t="n"/>
      <c r="L282" s="28" t="n"/>
      <c r="M282" s="27" t="n"/>
      <c r="N282" s="27" t="n"/>
      <c r="O282" s="27">
        <f>IF(AND(M282="",N282=""),"",IF(OR(M282="No Hit",N282="No Hit"),"Loss",IF(AND(M282="Hit",N282="Hit"),"Win","Pending")))</f>
        <v/>
      </c>
      <c r="P282" s="28">
        <f>IF(OR(K282="",L282=""),"",IF(K282&gt;0,L282*(K282/100),L282*(100/(-K282))))</f>
        <v/>
      </c>
      <c r="Q282" s="29">
        <f>IF(O282="Win",P282,IF(O282="Loss",-L282,""))</f>
        <v/>
      </c>
      <c r="R282" s="29">
        <f>IF(Q282="","",SUM($Q$2:Q282))</f>
        <v/>
      </c>
      <c r="S282" s="25" t="n"/>
    </row>
    <row r="283">
      <c r="A283" s="24" t="n"/>
      <c r="B283" s="25" t="n"/>
      <c r="C283" s="27" t="n"/>
      <c r="D283" s="26" t="n"/>
      <c r="E283" s="27" t="n"/>
      <c r="F283" s="25" t="n"/>
      <c r="G283" s="27" t="n"/>
      <c r="H283" s="26" t="n"/>
      <c r="I283" s="27" t="n"/>
      <c r="J283" s="27" t="n"/>
      <c r="K283" s="27" t="n"/>
      <c r="L283" s="28" t="n"/>
      <c r="M283" s="27" t="n"/>
      <c r="N283" s="27" t="n"/>
      <c r="O283" s="27">
        <f>IF(AND(M283="",N283=""),"",IF(OR(M283="No Hit",N283="No Hit"),"Loss",IF(AND(M283="Hit",N283="Hit"),"Win","Pending")))</f>
        <v/>
      </c>
      <c r="P283" s="28">
        <f>IF(OR(K283="",L283=""),"",IF(K283&gt;0,L283*(K283/100),L283*(100/(-K283))))</f>
        <v/>
      </c>
      <c r="Q283" s="29">
        <f>IF(O283="Win",P283,IF(O283="Loss",-L283,""))</f>
        <v/>
      </c>
      <c r="R283" s="29">
        <f>IF(Q283="","",SUM($Q$2:Q283))</f>
        <v/>
      </c>
      <c r="S283" s="25" t="n"/>
    </row>
    <row r="284">
      <c r="A284" s="24" t="n"/>
      <c r="B284" s="25" t="n"/>
      <c r="C284" s="27" t="n"/>
      <c r="D284" s="26" t="n"/>
      <c r="E284" s="27" t="n"/>
      <c r="F284" s="25" t="n"/>
      <c r="G284" s="27" t="n"/>
      <c r="H284" s="26" t="n"/>
      <c r="I284" s="27" t="n"/>
      <c r="J284" s="27" t="n"/>
      <c r="K284" s="27" t="n"/>
      <c r="L284" s="28" t="n"/>
      <c r="M284" s="27" t="n"/>
      <c r="N284" s="27" t="n"/>
      <c r="O284" s="27">
        <f>IF(AND(M284="",N284=""),"",IF(OR(M284="No Hit",N284="No Hit"),"Loss",IF(AND(M284="Hit",N284="Hit"),"Win","Pending")))</f>
        <v/>
      </c>
      <c r="P284" s="28">
        <f>IF(OR(K284="",L284=""),"",IF(K284&gt;0,L284*(K284/100),L284*(100/(-K284))))</f>
        <v/>
      </c>
      <c r="Q284" s="29">
        <f>IF(O284="Win",P284,IF(O284="Loss",-L284,""))</f>
        <v/>
      </c>
      <c r="R284" s="29">
        <f>IF(Q284="","",SUM($Q$2:Q284))</f>
        <v/>
      </c>
      <c r="S284" s="25" t="n"/>
    </row>
    <row r="285">
      <c r="A285" s="24" t="n"/>
      <c r="B285" s="25" t="n"/>
      <c r="C285" s="27" t="n"/>
      <c r="D285" s="26" t="n"/>
      <c r="E285" s="27" t="n"/>
      <c r="F285" s="25" t="n"/>
      <c r="G285" s="27" t="n"/>
      <c r="H285" s="26" t="n"/>
      <c r="I285" s="27" t="n"/>
      <c r="J285" s="27" t="n"/>
      <c r="K285" s="27" t="n"/>
      <c r="L285" s="28" t="n"/>
      <c r="M285" s="27" t="n"/>
      <c r="N285" s="27" t="n"/>
      <c r="O285" s="27">
        <f>IF(AND(M285="",N285=""),"",IF(OR(M285="No Hit",N285="No Hit"),"Loss",IF(AND(M285="Hit",N285="Hit"),"Win","Pending")))</f>
        <v/>
      </c>
      <c r="P285" s="28">
        <f>IF(OR(K285="",L285=""),"",IF(K285&gt;0,L285*(K285/100),L285*(100/(-K285))))</f>
        <v/>
      </c>
      <c r="Q285" s="29">
        <f>IF(O285="Win",P285,IF(O285="Loss",-L285,""))</f>
        <v/>
      </c>
      <c r="R285" s="29">
        <f>IF(Q285="","",SUM($Q$2:Q285))</f>
        <v/>
      </c>
      <c r="S285" s="25" t="n"/>
    </row>
    <row r="286">
      <c r="A286" s="24" t="n"/>
      <c r="B286" s="25" t="n"/>
      <c r="C286" s="27" t="n"/>
      <c r="D286" s="26" t="n"/>
      <c r="E286" s="27" t="n"/>
      <c r="F286" s="25" t="n"/>
      <c r="G286" s="27" t="n"/>
      <c r="H286" s="26" t="n"/>
      <c r="I286" s="27" t="n"/>
      <c r="J286" s="27" t="n"/>
      <c r="K286" s="27" t="n"/>
      <c r="L286" s="28" t="n"/>
      <c r="M286" s="27" t="n"/>
      <c r="N286" s="27" t="n"/>
      <c r="O286" s="27">
        <f>IF(AND(M286="",N286=""),"",IF(OR(M286="No Hit",N286="No Hit"),"Loss",IF(AND(M286="Hit",N286="Hit"),"Win","Pending")))</f>
        <v/>
      </c>
      <c r="P286" s="28">
        <f>IF(OR(K286="",L286=""),"",IF(K286&gt;0,L286*(K286/100),L286*(100/(-K286))))</f>
        <v/>
      </c>
      <c r="Q286" s="29">
        <f>IF(O286="Win",P286,IF(O286="Loss",-L286,""))</f>
        <v/>
      </c>
      <c r="R286" s="29">
        <f>IF(Q286="","",SUM($Q$2:Q286))</f>
        <v/>
      </c>
      <c r="S286" s="25" t="n"/>
    </row>
    <row r="287">
      <c r="A287" s="24" t="n"/>
      <c r="B287" s="25" t="n"/>
      <c r="C287" s="27" t="n"/>
      <c r="D287" s="26" t="n"/>
      <c r="E287" s="27" t="n"/>
      <c r="F287" s="25" t="n"/>
      <c r="G287" s="27" t="n"/>
      <c r="H287" s="26" t="n"/>
      <c r="I287" s="27" t="n"/>
      <c r="J287" s="27" t="n"/>
      <c r="K287" s="27" t="n"/>
      <c r="L287" s="28" t="n"/>
      <c r="M287" s="27" t="n"/>
      <c r="N287" s="27" t="n"/>
      <c r="O287" s="27">
        <f>IF(AND(M287="",N287=""),"",IF(OR(M287="No Hit",N287="No Hit"),"Loss",IF(AND(M287="Hit",N287="Hit"),"Win","Pending")))</f>
        <v/>
      </c>
      <c r="P287" s="28">
        <f>IF(OR(K287="",L287=""),"",IF(K287&gt;0,L287*(K287/100),L287*(100/(-K287))))</f>
        <v/>
      </c>
      <c r="Q287" s="29">
        <f>IF(O287="Win",P287,IF(O287="Loss",-L287,""))</f>
        <v/>
      </c>
      <c r="R287" s="29">
        <f>IF(Q287="","",SUM($Q$2:Q287))</f>
        <v/>
      </c>
      <c r="S287" s="25" t="n"/>
    </row>
    <row r="288">
      <c r="A288" s="24" t="n"/>
      <c r="B288" s="25" t="n"/>
      <c r="C288" s="27" t="n"/>
      <c r="D288" s="26" t="n"/>
      <c r="E288" s="27" t="n"/>
      <c r="F288" s="25" t="n"/>
      <c r="G288" s="27" t="n"/>
      <c r="H288" s="26" t="n"/>
      <c r="I288" s="27" t="n"/>
      <c r="J288" s="27" t="n"/>
      <c r="K288" s="27" t="n"/>
      <c r="L288" s="28" t="n"/>
      <c r="M288" s="27" t="n"/>
      <c r="N288" s="27" t="n"/>
      <c r="O288" s="27">
        <f>IF(AND(M288="",N288=""),"",IF(OR(M288="No Hit",N288="No Hit"),"Loss",IF(AND(M288="Hit",N288="Hit"),"Win","Pending")))</f>
        <v/>
      </c>
      <c r="P288" s="28">
        <f>IF(OR(K288="",L288=""),"",IF(K288&gt;0,L288*(K288/100),L288*(100/(-K288))))</f>
        <v/>
      </c>
      <c r="Q288" s="29">
        <f>IF(O288="Win",P288,IF(O288="Loss",-L288,""))</f>
        <v/>
      </c>
      <c r="R288" s="29">
        <f>IF(Q288="","",SUM($Q$2:Q288))</f>
        <v/>
      </c>
      <c r="S288" s="25" t="n"/>
    </row>
    <row r="289">
      <c r="A289" s="24" t="n"/>
      <c r="B289" s="25" t="n"/>
      <c r="C289" s="27" t="n"/>
      <c r="D289" s="26" t="n"/>
      <c r="E289" s="27" t="n"/>
      <c r="F289" s="25" t="n"/>
      <c r="G289" s="27" t="n"/>
      <c r="H289" s="26" t="n"/>
      <c r="I289" s="27" t="n"/>
      <c r="J289" s="27" t="n"/>
      <c r="K289" s="27" t="n"/>
      <c r="L289" s="28" t="n"/>
      <c r="M289" s="27" t="n"/>
      <c r="N289" s="27" t="n"/>
      <c r="O289" s="27">
        <f>IF(AND(M289="",N289=""),"",IF(OR(M289="No Hit",N289="No Hit"),"Loss",IF(AND(M289="Hit",N289="Hit"),"Win","Pending")))</f>
        <v/>
      </c>
      <c r="P289" s="28">
        <f>IF(OR(K289="",L289=""),"",IF(K289&gt;0,L289*(K289/100),L289*(100/(-K289))))</f>
        <v/>
      </c>
      <c r="Q289" s="29">
        <f>IF(O289="Win",P289,IF(O289="Loss",-L289,""))</f>
        <v/>
      </c>
      <c r="R289" s="29">
        <f>IF(Q289="","",SUM($Q$2:Q289))</f>
        <v/>
      </c>
      <c r="S289" s="25" t="n"/>
    </row>
    <row r="290">
      <c r="A290" s="24" t="n"/>
      <c r="B290" s="25" t="n"/>
      <c r="C290" s="27" t="n"/>
      <c r="D290" s="26" t="n"/>
      <c r="E290" s="27" t="n"/>
      <c r="F290" s="25" t="n"/>
      <c r="G290" s="27" t="n"/>
      <c r="H290" s="26" t="n"/>
      <c r="I290" s="27" t="n"/>
      <c r="J290" s="27" t="n"/>
      <c r="K290" s="27" t="n"/>
      <c r="L290" s="28" t="n"/>
      <c r="M290" s="27" t="n"/>
      <c r="N290" s="27" t="n"/>
      <c r="O290" s="27">
        <f>IF(AND(M290="",N290=""),"",IF(OR(M290="No Hit",N290="No Hit"),"Loss",IF(AND(M290="Hit",N290="Hit"),"Win","Pending")))</f>
        <v/>
      </c>
      <c r="P290" s="28">
        <f>IF(OR(K290="",L290=""),"",IF(K290&gt;0,L290*(K290/100),L290*(100/(-K290))))</f>
        <v/>
      </c>
      <c r="Q290" s="29">
        <f>IF(O290="Win",P290,IF(O290="Loss",-L290,""))</f>
        <v/>
      </c>
      <c r="R290" s="29">
        <f>IF(Q290="","",SUM($Q$2:Q290))</f>
        <v/>
      </c>
      <c r="S290" s="25" t="n"/>
    </row>
    <row r="291">
      <c r="A291" s="24" t="n"/>
      <c r="B291" s="25" t="n"/>
      <c r="C291" s="27" t="n"/>
      <c r="D291" s="26" t="n"/>
      <c r="E291" s="27" t="n"/>
      <c r="F291" s="25" t="n"/>
      <c r="G291" s="27" t="n"/>
      <c r="H291" s="26" t="n"/>
      <c r="I291" s="27" t="n"/>
      <c r="J291" s="27" t="n"/>
      <c r="K291" s="27" t="n"/>
      <c r="L291" s="28" t="n"/>
      <c r="M291" s="27" t="n"/>
      <c r="N291" s="27" t="n"/>
      <c r="O291" s="27">
        <f>IF(AND(M291="",N291=""),"",IF(OR(M291="No Hit",N291="No Hit"),"Loss",IF(AND(M291="Hit",N291="Hit"),"Win","Pending")))</f>
        <v/>
      </c>
      <c r="P291" s="28">
        <f>IF(OR(K291="",L291=""),"",IF(K291&gt;0,L291*(K291/100),L291*(100/(-K291))))</f>
        <v/>
      </c>
      <c r="Q291" s="29">
        <f>IF(O291="Win",P291,IF(O291="Loss",-L291,""))</f>
        <v/>
      </c>
      <c r="R291" s="29">
        <f>IF(Q291="","",SUM($Q$2:Q291))</f>
        <v/>
      </c>
      <c r="S291" s="25" t="n"/>
    </row>
    <row r="292">
      <c r="A292" s="24" t="n"/>
      <c r="B292" s="25" t="n"/>
      <c r="C292" s="27" t="n"/>
      <c r="D292" s="26" t="n"/>
      <c r="E292" s="27" t="n"/>
      <c r="F292" s="25" t="n"/>
      <c r="G292" s="27" t="n"/>
      <c r="H292" s="26" t="n"/>
      <c r="I292" s="27" t="n"/>
      <c r="J292" s="27" t="n"/>
      <c r="K292" s="27" t="n"/>
      <c r="L292" s="28" t="n"/>
      <c r="M292" s="27" t="n"/>
      <c r="N292" s="27" t="n"/>
      <c r="O292" s="27">
        <f>IF(AND(M292="",N292=""),"",IF(OR(M292="No Hit",N292="No Hit"),"Loss",IF(AND(M292="Hit",N292="Hit"),"Win","Pending")))</f>
        <v/>
      </c>
      <c r="P292" s="28">
        <f>IF(OR(K292="",L292=""),"",IF(K292&gt;0,L292*(K292/100),L292*(100/(-K292))))</f>
        <v/>
      </c>
      <c r="Q292" s="29">
        <f>IF(O292="Win",P292,IF(O292="Loss",-L292,""))</f>
        <v/>
      </c>
      <c r="R292" s="29">
        <f>IF(Q292="","",SUM($Q$2:Q292))</f>
        <v/>
      </c>
      <c r="S292" s="25" t="n"/>
    </row>
    <row r="293">
      <c r="A293" s="24" t="n"/>
      <c r="B293" s="25" t="n"/>
      <c r="C293" s="27" t="n"/>
      <c r="D293" s="26" t="n"/>
      <c r="E293" s="27" t="n"/>
      <c r="F293" s="25" t="n"/>
      <c r="G293" s="27" t="n"/>
      <c r="H293" s="26" t="n"/>
      <c r="I293" s="27" t="n"/>
      <c r="J293" s="27" t="n"/>
      <c r="K293" s="27" t="n"/>
      <c r="L293" s="28" t="n"/>
      <c r="M293" s="27" t="n"/>
      <c r="N293" s="27" t="n"/>
      <c r="O293" s="27">
        <f>IF(AND(M293="",N293=""),"",IF(OR(M293="No Hit",N293="No Hit"),"Loss",IF(AND(M293="Hit",N293="Hit"),"Win","Pending")))</f>
        <v/>
      </c>
      <c r="P293" s="28">
        <f>IF(OR(K293="",L293=""),"",IF(K293&gt;0,L293*(K293/100),L293*(100/(-K293))))</f>
        <v/>
      </c>
      <c r="Q293" s="29">
        <f>IF(O293="Win",P293,IF(O293="Loss",-L293,""))</f>
        <v/>
      </c>
      <c r="R293" s="29">
        <f>IF(Q293="","",SUM($Q$2:Q293))</f>
        <v/>
      </c>
      <c r="S293" s="25" t="n"/>
    </row>
    <row r="294">
      <c r="A294" s="24" t="n"/>
      <c r="B294" s="25" t="n"/>
      <c r="C294" s="27" t="n"/>
      <c r="D294" s="26" t="n"/>
      <c r="E294" s="27" t="n"/>
      <c r="F294" s="25" t="n"/>
      <c r="G294" s="27" t="n"/>
      <c r="H294" s="26" t="n"/>
      <c r="I294" s="27" t="n"/>
      <c r="J294" s="27" t="n"/>
      <c r="K294" s="27" t="n"/>
      <c r="L294" s="28" t="n"/>
      <c r="M294" s="27" t="n"/>
      <c r="N294" s="27" t="n"/>
      <c r="O294" s="27">
        <f>IF(AND(M294="",N294=""),"",IF(OR(M294="No Hit",N294="No Hit"),"Loss",IF(AND(M294="Hit",N294="Hit"),"Win","Pending")))</f>
        <v/>
      </c>
      <c r="P294" s="28">
        <f>IF(OR(K294="",L294=""),"",IF(K294&gt;0,L294*(K294/100),L294*(100/(-K294))))</f>
        <v/>
      </c>
      <c r="Q294" s="29">
        <f>IF(O294="Win",P294,IF(O294="Loss",-L294,""))</f>
        <v/>
      </c>
      <c r="R294" s="29">
        <f>IF(Q294="","",SUM($Q$2:Q294))</f>
        <v/>
      </c>
      <c r="S294" s="25" t="n"/>
    </row>
    <row r="295">
      <c r="A295" s="24" t="n"/>
      <c r="B295" s="25" t="n"/>
      <c r="C295" s="27" t="n"/>
      <c r="D295" s="26" t="n"/>
      <c r="E295" s="27" t="n"/>
      <c r="F295" s="25" t="n"/>
      <c r="G295" s="27" t="n"/>
      <c r="H295" s="26" t="n"/>
      <c r="I295" s="27" t="n"/>
      <c r="J295" s="27" t="n"/>
      <c r="K295" s="27" t="n"/>
      <c r="L295" s="28" t="n"/>
      <c r="M295" s="27" t="n"/>
      <c r="N295" s="27" t="n"/>
      <c r="O295" s="27">
        <f>IF(AND(M295="",N295=""),"",IF(OR(M295="No Hit",N295="No Hit"),"Loss",IF(AND(M295="Hit",N295="Hit"),"Win","Pending")))</f>
        <v/>
      </c>
      <c r="P295" s="28">
        <f>IF(OR(K295="",L295=""),"",IF(K295&gt;0,L295*(K295/100),L295*(100/(-K295))))</f>
        <v/>
      </c>
      <c r="Q295" s="29">
        <f>IF(O295="Win",P295,IF(O295="Loss",-L295,""))</f>
        <v/>
      </c>
      <c r="R295" s="29">
        <f>IF(Q295="","",SUM($Q$2:Q295))</f>
        <v/>
      </c>
      <c r="S295" s="25" t="n"/>
    </row>
    <row r="296">
      <c r="A296" s="24" t="n"/>
      <c r="B296" s="25" t="n"/>
      <c r="C296" s="27" t="n"/>
      <c r="D296" s="26" t="n"/>
      <c r="E296" s="27" t="n"/>
      <c r="F296" s="25" t="n"/>
      <c r="G296" s="27" t="n"/>
      <c r="H296" s="26" t="n"/>
      <c r="I296" s="27" t="n"/>
      <c r="J296" s="27" t="n"/>
      <c r="K296" s="27" t="n"/>
      <c r="L296" s="28" t="n"/>
      <c r="M296" s="27" t="n"/>
      <c r="N296" s="27" t="n"/>
      <c r="O296" s="27">
        <f>IF(AND(M296="",N296=""),"",IF(OR(M296="No Hit",N296="No Hit"),"Loss",IF(AND(M296="Hit",N296="Hit"),"Win","Pending")))</f>
        <v/>
      </c>
      <c r="P296" s="28">
        <f>IF(OR(K296="",L296=""),"",IF(K296&gt;0,L296*(K296/100),L296*(100/(-K296))))</f>
        <v/>
      </c>
      <c r="Q296" s="29">
        <f>IF(O296="Win",P296,IF(O296="Loss",-L296,""))</f>
        <v/>
      </c>
      <c r="R296" s="29">
        <f>IF(Q296="","",SUM($Q$2:Q296))</f>
        <v/>
      </c>
      <c r="S296" s="25" t="n"/>
    </row>
    <row r="297">
      <c r="A297" s="24" t="n"/>
      <c r="B297" s="25" t="n"/>
      <c r="C297" s="27" t="n"/>
      <c r="D297" s="26" t="n"/>
      <c r="E297" s="27" t="n"/>
      <c r="F297" s="25" t="n"/>
      <c r="G297" s="27" t="n"/>
      <c r="H297" s="26" t="n"/>
      <c r="I297" s="27" t="n"/>
      <c r="J297" s="27" t="n"/>
      <c r="K297" s="27" t="n"/>
      <c r="L297" s="28" t="n"/>
      <c r="M297" s="27" t="n"/>
      <c r="N297" s="27" t="n"/>
      <c r="O297" s="27">
        <f>IF(AND(M297="",N297=""),"",IF(OR(M297="No Hit",N297="No Hit"),"Loss",IF(AND(M297="Hit",N297="Hit"),"Win","Pending")))</f>
        <v/>
      </c>
      <c r="P297" s="28">
        <f>IF(OR(K297="",L297=""),"",IF(K297&gt;0,L297*(K297/100),L297*(100/(-K297))))</f>
        <v/>
      </c>
      <c r="Q297" s="29">
        <f>IF(O297="Win",P297,IF(O297="Loss",-L297,""))</f>
        <v/>
      </c>
      <c r="R297" s="29">
        <f>IF(Q297="","",SUM($Q$2:Q297))</f>
        <v/>
      </c>
      <c r="S297" s="25" t="n"/>
    </row>
    <row r="298">
      <c r="A298" s="24" t="n"/>
      <c r="B298" s="25" t="n"/>
      <c r="C298" s="27" t="n"/>
      <c r="D298" s="26" t="n"/>
      <c r="E298" s="27" t="n"/>
      <c r="F298" s="25" t="n"/>
      <c r="G298" s="27" t="n"/>
      <c r="H298" s="26" t="n"/>
      <c r="I298" s="27" t="n"/>
      <c r="J298" s="27" t="n"/>
      <c r="K298" s="27" t="n"/>
      <c r="L298" s="28" t="n"/>
      <c r="M298" s="27" t="n"/>
      <c r="N298" s="27" t="n"/>
      <c r="O298" s="27">
        <f>IF(AND(M298="",N298=""),"",IF(OR(M298="No Hit",N298="No Hit"),"Loss",IF(AND(M298="Hit",N298="Hit"),"Win","Pending")))</f>
        <v/>
      </c>
      <c r="P298" s="28">
        <f>IF(OR(K298="",L298=""),"",IF(K298&gt;0,L298*(K298/100),L298*(100/(-K298))))</f>
        <v/>
      </c>
      <c r="Q298" s="29">
        <f>IF(O298="Win",P298,IF(O298="Loss",-L298,""))</f>
        <v/>
      </c>
      <c r="R298" s="29">
        <f>IF(Q298="","",SUM($Q$2:Q298))</f>
        <v/>
      </c>
      <c r="S298" s="25" t="n"/>
    </row>
    <row r="299">
      <c r="A299" s="24" t="n"/>
      <c r="B299" s="25" t="n"/>
      <c r="C299" s="27" t="n"/>
      <c r="D299" s="26" t="n"/>
      <c r="E299" s="27" t="n"/>
      <c r="F299" s="25" t="n"/>
      <c r="G299" s="27" t="n"/>
      <c r="H299" s="26" t="n"/>
      <c r="I299" s="27" t="n"/>
      <c r="J299" s="27" t="n"/>
      <c r="K299" s="27" t="n"/>
      <c r="L299" s="28" t="n"/>
      <c r="M299" s="27" t="n"/>
      <c r="N299" s="27" t="n"/>
      <c r="O299" s="27">
        <f>IF(AND(M299="",N299=""),"",IF(OR(M299="No Hit",N299="No Hit"),"Loss",IF(AND(M299="Hit",N299="Hit"),"Win","Pending")))</f>
        <v/>
      </c>
      <c r="P299" s="28">
        <f>IF(OR(K299="",L299=""),"",IF(K299&gt;0,L299*(K299/100),L299*(100/(-K299))))</f>
        <v/>
      </c>
      <c r="Q299" s="29">
        <f>IF(O299="Win",P299,IF(O299="Loss",-L299,""))</f>
        <v/>
      </c>
      <c r="R299" s="29">
        <f>IF(Q299="","",SUM($Q$2:Q299))</f>
        <v/>
      </c>
      <c r="S299" s="25" t="n"/>
    </row>
    <row r="300">
      <c r="A300" s="24" t="n"/>
      <c r="B300" s="25" t="n"/>
      <c r="C300" s="27" t="n"/>
      <c r="D300" s="26" t="n"/>
      <c r="E300" s="27" t="n"/>
      <c r="F300" s="25" t="n"/>
      <c r="G300" s="27" t="n"/>
      <c r="H300" s="26" t="n"/>
      <c r="I300" s="27" t="n"/>
      <c r="J300" s="27" t="n"/>
      <c r="K300" s="27" t="n"/>
      <c r="L300" s="28" t="n"/>
      <c r="M300" s="27" t="n"/>
      <c r="N300" s="27" t="n"/>
      <c r="O300" s="27">
        <f>IF(AND(M300="",N300=""),"",IF(OR(M300="No Hit",N300="No Hit"),"Loss",IF(AND(M300="Hit",N300="Hit"),"Win","Pending")))</f>
        <v/>
      </c>
      <c r="P300" s="28">
        <f>IF(OR(K300="",L300=""),"",IF(K300&gt;0,L300*(K300/100),L300*(100/(-K300))))</f>
        <v/>
      </c>
      <c r="Q300" s="29">
        <f>IF(O300="Win",P300,IF(O300="Loss",-L300,""))</f>
        <v/>
      </c>
      <c r="R300" s="29">
        <f>IF(Q300="","",SUM($Q$2:Q300))</f>
        <v/>
      </c>
      <c r="S300" s="25" t="n"/>
    </row>
    <row r="301">
      <c r="A301" s="24" t="n"/>
      <c r="B301" s="25" t="n"/>
      <c r="C301" s="27" t="n"/>
      <c r="D301" s="26" t="n"/>
      <c r="E301" s="27" t="n"/>
      <c r="F301" s="25" t="n"/>
      <c r="G301" s="27" t="n"/>
      <c r="H301" s="26" t="n"/>
      <c r="I301" s="27" t="n"/>
      <c r="J301" s="27" t="n"/>
      <c r="K301" s="27" t="n"/>
      <c r="L301" s="28" t="n"/>
      <c r="M301" s="27" t="n"/>
      <c r="N301" s="27" t="n"/>
      <c r="O301" s="27">
        <f>IF(AND(M301="",N301=""),"",IF(OR(M301="No Hit",N301="No Hit"),"Loss",IF(AND(M301="Hit",N301="Hit"),"Win","Pending")))</f>
        <v/>
      </c>
      <c r="P301" s="28">
        <f>IF(OR(K301="",L301=""),"",IF(K301&gt;0,L301*(K301/100),L301*(100/(-K301))))</f>
        <v/>
      </c>
      <c r="Q301" s="29">
        <f>IF(O301="Win",P301,IF(O301="Loss",-L301,""))</f>
        <v/>
      </c>
      <c r="R301" s="29">
        <f>IF(Q301="","",SUM($Q$2:Q301))</f>
        <v/>
      </c>
      <c r="S301" s="25" t="n"/>
    </row>
  </sheetData>
  <conditionalFormatting sqref="A2:S301">
    <cfRule type="expression" priority="1" dxfId="0">
      <formula>$O2="Win"</formula>
    </cfRule>
    <cfRule type="expression" priority="2" dxfId="1">
      <formula>$O2="Loss"</formula>
    </cfRule>
    <cfRule type="expression" priority="3" dxfId="2">
      <formula>$O2="Pending"</formula>
    </cfRule>
  </conditionalFormatting>
  <dataValidations count="3">
    <dataValidation sqref="M2:M301" showDropDown="0" showInputMessage="0" showErrorMessage="0" allowBlank="1" type="list">
      <formula1>"Hit,No Hit,Pending"</formula1>
    </dataValidation>
    <dataValidation sqref="N2:N301" showDropDown="0" showInputMessage="0" showErrorMessage="0" allowBlank="1" type="list">
      <formula1>"Hit,No Hit,Pending"</formula1>
    </dataValidation>
    <dataValidation sqref="J2:J301" showDropDown="0" showInputMessage="0" showErrorMessage="0" allowBlank="1" type="list">
      <formula1>"DraftKings,FanDuel,BetMGM,Caesars,ESPNBet,Bet365,Hard Rock,Other"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2026-04-04T19:40:47Z</dcterms:created>
  <dcterms:modified xsi:type="dcterms:W3CDTF">2026-04-04T19:40:48Z</dcterms:modified>
</cp:coreProperties>
</file>